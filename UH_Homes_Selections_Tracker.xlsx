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10" yWindow="-110" windowWidth="23260" windowHeight="14860" tabRatio="500" firstSheet="0" activeTab="1" autoFilterDateGrouping="1"/>
  </bookViews>
  <sheets>
    <sheet xmlns:r="http://schemas.openxmlformats.org/officeDocument/2006/relationships" name="Instructions" sheetId="1" state="visible" r:id="rId1"/>
    <sheet xmlns:r="http://schemas.openxmlformats.org/officeDocument/2006/relationships" name="Projects" sheetId="2" state="visible" r:id="rId2"/>
    <sheet xmlns:r="http://schemas.openxmlformats.org/officeDocument/2006/relationships" name="Selections" sheetId="3" state="visible" r:id="rId3"/>
    <sheet xmlns:r="http://schemas.openxmlformats.org/officeDocument/2006/relationships" name="Manufacturers" sheetId="4" state="visible" r:id="rId4"/>
    <sheet xmlns:r="http://schemas.openxmlformats.org/officeDocument/2006/relationships" name="Lists" sheetId="5" state="visible" r:id="rId5"/>
    <sheet xmlns:r="http://schemas.openxmlformats.org/officeDocument/2006/relationships" name="Price Schedule" sheetId="6" state="visible" r:id="rId6"/>
  </sheets>
  <definedNames>
    <definedName name="_xlnm._FilterDatabase" localSheetId="1" hidden="1">'Projects'!$A$1:$L$51</definedName>
    <definedName name="_xlnm._FilterDatabase" localSheetId="2" hidden="1">'Selections'!$A$1:$T$501</definedName>
    <definedName name="_xlnm._FilterDatabase" localSheetId="3" hidden="1">'Manufacturers'!$A$1:$C$101</definedName>
  </definedNames>
  <calcPr calcId="191029" fullCalcOnLoad="1"/>
</workbook>
</file>

<file path=xl/styles.xml><?xml version="1.0" encoding="utf-8"?>
<styleSheet xmlns="http://schemas.openxmlformats.org/spreadsheetml/2006/main">
  <numFmts count="1">
    <numFmt numFmtId="164" formatCode="0.##"/>
  </numFmts>
  <fonts count="15">
    <font>
      <name val="Calibri"/>
      <charset val="1"/>
      <family val="2"/>
      <color theme="1"/>
      <sz val="11"/>
    </font>
    <font>
      <name val="Arial"/>
      <charset val="1"/>
      <b val="1"/>
      <sz val="16"/>
    </font>
    <font>
      <name val="Arial"/>
      <charset val="1"/>
      <sz val="10"/>
    </font>
    <font>
      <name val="Arial"/>
      <charset val="1"/>
      <b val="1"/>
      <sz val="12"/>
    </font>
    <font>
      <name val="Arial"/>
      <charset val="1"/>
      <b val="1"/>
      <color rgb="FFFFFFFF"/>
      <sz val="11"/>
    </font>
    <font>
      <name val="Arial"/>
      <family val="2"/>
      <sz val="10"/>
    </font>
    <font>
      <name val="Calibri"/>
      <b val="1"/>
      <sz val="16"/>
    </font>
    <font>
      <name val="Calibri"/>
      <sz val="11"/>
    </font>
    <font>
      <name val="Calibri"/>
      <b val="1"/>
      <sz val="11"/>
    </font>
    <font>
      <name val="Calibri"/>
      <b val="1"/>
      <color rgb="FF2F3337"/>
      <sz val="15"/>
    </font>
    <font>
      <name val="Calibri"/>
      <i val="1"/>
      <color rgb="FF7A7E82"/>
      <sz val="9"/>
    </font>
    <font>
      <name val="Calibri"/>
      <b val="1"/>
      <color rgb="FFFFFFFF"/>
      <sz val="10"/>
    </font>
    <font>
      <name val="Calibri"/>
      <b val="1"/>
      <color rgb="FF2F3337"/>
      <sz val="11"/>
    </font>
    <font>
      <name val="Calibri"/>
      <b val="1"/>
      <color rgb="FF2F3337"/>
      <sz val="10"/>
    </font>
    <font>
      <name val="Calibri"/>
      <color rgb="FF2F3337"/>
      <sz val="10"/>
    </font>
  </fonts>
  <fills count="8">
    <fill>
      <patternFill/>
    </fill>
    <fill>
      <patternFill patternType="gray125"/>
    </fill>
    <fill>
      <patternFill patternType="solid">
        <fgColor rgb="FFFFF6D5"/>
        <bgColor rgb="FFEEF1F3"/>
      </patternFill>
    </fill>
    <fill>
      <patternFill patternType="solid">
        <fgColor rgb="FFEEF1F3"/>
        <bgColor rgb="FFFFF6D5"/>
      </patternFill>
    </fill>
    <fill>
      <patternFill patternType="solid">
        <fgColor rgb="FF2F3437"/>
        <bgColor rgb="FF333300"/>
      </patternFill>
    </fill>
    <fill>
      <patternFill patternType="solid">
        <fgColor rgb="FF2F3337"/>
      </patternFill>
    </fill>
    <fill>
      <patternFill patternType="solid">
        <fgColor rgb="FFC9A24A"/>
      </patternFill>
    </fill>
    <fill>
      <patternFill patternType="solid">
        <fgColor rgb="FFF5F5F3"/>
      </patternFill>
    </fill>
  </fills>
  <borders count="4">
    <border>
      <left/>
      <right/>
      <top/>
      <bottom/>
      <diagonal/>
    </border>
    <border>
      <left style="thin">
        <color rgb="FFD0D4D8"/>
      </left>
      <right style="thin">
        <color rgb="FFD0D4D8"/>
      </right>
      <top style="thin">
        <color rgb="FFD0D4D8"/>
      </top>
      <bottom style="thin">
        <color rgb="FFD0D4D8"/>
      </bottom>
      <diagonal/>
    </border>
    <border>
      <bottom style="thin">
        <color rgb="FFE3E3E1"/>
      </bottom>
    </border>
    <border>
      <top style="thin">
        <color rgb="FF2F3337"/>
      </top>
    </border>
  </borders>
  <cellStyleXfs count="1">
    <xf numFmtId="0" fontId="0" fillId="0" borderId="0"/>
  </cellStyleXfs>
  <cellXfs count="41">
    <xf numFmtId="0" fontId="0" fillId="0" borderId="0" pivotButton="0" quotePrefix="0" xfId="0"/>
    <xf numFmtId="0" fontId="2" fillId="2" borderId="1" applyAlignment="1" pivotButton="0" quotePrefix="0" xfId="0">
      <alignment vertical="top" wrapText="1"/>
    </xf>
    <xf numFmtId="0" fontId="2" fillId="3" borderId="1" applyAlignment="1" pivotButton="0" quotePrefix="0" xfId="0">
      <alignment vertical="top" wrapText="1"/>
    </xf>
    <xf numFmtId="0" fontId="4" fillId="4" borderId="1" applyAlignment="1" pivotButton="0" quotePrefix="0" xfId="0">
      <alignment horizontal="center" vertical="center" wrapText="1"/>
    </xf>
    <xf numFmtId="0" fontId="0" fillId="0" borderId="0" applyAlignment="1" pivotButton="0" quotePrefix="0" xfId="0">
      <alignment horizontal="center" vertical="center"/>
    </xf>
    <xf numFmtId="0" fontId="2" fillId="2" borderId="1" applyAlignment="1" pivotButton="0" quotePrefix="0" xfId="0">
      <alignment horizontal="center" vertical="center" wrapText="1"/>
    </xf>
    <xf numFmtId="0" fontId="2" fillId="0" borderId="1" applyAlignment="1" pivotButton="0" quotePrefix="0" xfId="0">
      <alignment horizontal="center" vertical="center" wrapText="1"/>
    </xf>
    <xf numFmtId="0" fontId="2" fillId="2" borderId="1" applyAlignment="1" pivotButton="0" quotePrefix="0" xfId="0">
      <alignment horizontal="center" vertical="top" wrapText="1"/>
    </xf>
    <xf numFmtId="0" fontId="2" fillId="3" borderId="1" applyAlignment="1" pivotButton="0" quotePrefix="0" xfId="0">
      <alignment horizontal="center" vertical="top" wrapText="1"/>
    </xf>
    <xf numFmtId="0" fontId="1" fillId="0" borderId="0" applyAlignment="1" pivotButton="0" quotePrefix="0" xfId="0">
      <alignment horizontal="center" vertical="center"/>
    </xf>
    <xf numFmtId="0" fontId="2" fillId="0" borderId="0" applyAlignment="1" pivotButton="0" quotePrefix="0" xfId="0">
      <alignment horizontal="center" vertical="center"/>
    </xf>
    <xf numFmtId="0" fontId="3" fillId="0" borderId="0" applyAlignment="1" pivotButton="0" quotePrefix="0" xfId="0">
      <alignment horizontal="center" vertical="center"/>
    </xf>
    <xf numFmtId="0" fontId="2" fillId="2" borderId="0" applyAlignment="1" pivotButton="0" quotePrefix="0" xfId="0">
      <alignment horizontal="center" vertical="center"/>
    </xf>
    <xf numFmtId="0" fontId="2" fillId="3" borderId="0" applyAlignment="1" pivotButton="0" quotePrefix="0" xfId="0">
      <alignment horizontal="center" vertical="center"/>
    </xf>
    <xf numFmtId="14" fontId="2" fillId="2" borderId="1" applyAlignment="1" pivotButton="0" quotePrefix="0" xfId="0">
      <alignment horizontal="center" vertical="top" wrapText="1"/>
    </xf>
    <xf numFmtId="0" fontId="6" fillId="0" borderId="0" applyAlignment="1" pivotButton="0" quotePrefix="0" xfId="0">
      <alignment vertical="top" wrapText="1"/>
    </xf>
    <xf numFmtId="0" fontId="7" fillId="0" borderId="0" applyAlignment="1" pivotButton="0" quotePrefix="0" xfId="0">
      <alignment vertical="top" wrapText="1"/>
    </xf>
    <xf numFmtId="0" fontId="8" fillId="0" borderId="0" applyAlignment="1" pivotButton="0" quotePrefix="0" xfId="0">
      <alignment vertical="top" wrapText="1"/>
    </xf>
    <xf numFmtId="0" fontId="7" fillId="2" borderId="0" applyAlignment="1" pivotButton="0" quotePrefix="0" xfId="0">
      <alignment vertical="top" wrapText="1"/>
    </xf>
    <xf numFmtId="0" fontId="7" fillId="3" borderId="0" applyAlignment="1" pivotButton="0" quotePrefix="0" xfId="0">
      <alignment vertical="top" wrapText="1"/>
    </xf>
    <xf numFmtId="4" fontId="0" fillId="0" borderId="0" pivotButton="0" quotePrefix="0" xfId="0"/>
    <xf numFmtId="0" fontId="9" fillId="0" borderId="0" pivotButton="0" quotePrefix="0" xfId="0"/>
    <xf numFmtId="0" fontId="10" fillId="0" borderId="0" pivotButton="0" quotePrefix="0" xfId="0"/>
    <xf numFmtId="0" fontId="11" fillId="5" borderId="0" applyAlignment="1" pivotButton="0" quotePrefix="0" xfId="0">
      <alignment horizontal="left" vertical="center"/>
    </xf>
    <xf numFmtId="0" fontId="11" fillId="5" borderId="0" applyAlignment="1" pivotButton="0" quotePrefix="0" xfId="0">
      <alignment horizontal="right" vertical="center"/>
    </xf>
    <xf numFmtId="0" fontId="12" fillId="6" borderId="0" applyAlignment="1" pivotButton="0" quotePrefix="0" xfId="0">
      <alignment vertical="center"/>
    </xf>
    <xf numFmtId="0" fontId="13" fillId="7" borderId="0" pivotButton="0" quotePrefix="0" xfId="0"/>
    <xf numFmtId="0" fontId="14" fillId="0" borderId="2" applyAlignment="1" pivotButton="0" quotePrefix="0" xfId="0">
      <alignment horizontal="left"/>
    </xf>
    <xf numFmtId="0" fontId="14" fillId="0" borderId="2" pivotButton="0" quotePrefix="0" xfId="0"/>
    <xf numFmtId="0" fontId="14" fillId="0" borderId="2" applyAlignment="1" pivotButton="0" quotePrefix="0" xfId="0">
      <alignment vertical="top" wrapText="1"/>
    </xf>
    <xf numFmtId="0" fontId="14" fillId="0" borderId="2" applyAlignment="1" pivotButton="0" quotePrefix="0" xfId="0">
      <alignment horizontal="right"/>
    </xf>
    <xf numFmtId="4" fontId="14" fillId="0" borderId="2" applyAlignment="1" pivotButton="0" quotePrefix="0" xfId="0">
      <alignment horizontal="right"/>
    </xf>
    <xf numFmtId="0" fontId="13" fillId="0" borderId="0" applyAlignment="1" pivotButton="0" quotePrefix="0" xfId="0">
      <alignment horizontal="right"/>
    </xf>
    <xf numFmtId="4" fontId="13" fillId="0" borderId="0" applyAlignment="1" pivotButton="0" quotePrefix="0" xfId="0">
      <alignment horizontal="right"/>
    </xf>
    <xf numFmtId="0" fontId="0" fillId="0" borderId="3" pivotButton="0" quotePrefix="0" xfId="0"/>
    <xf numFmtId="0" fontId="13" fillId="0" borderId="3" applyAlignment="1" pivotButton="0" quotePrefix="0" xfId="0">
      <alignment horizontal="right"/>
    </xf>
    <xf numFmtId="4" fontId="13" fillId="0" borderId="3" applyAlignment="1" pivotButton="0" quotePrefix="0" xfId="0">
      <alignment horizontal="right"/>
    </xf>
    <xf numFmtId="0" fontId="12" fillId="0" borderId="3" applyAlignment="1" pivotButton="0" quotePrefix="0" xfId="0">
      <alignment horizontal="right"/>
    </xf>
    <xf numFmtId="4" fontId="12" fillId="0" borderId="3" applyAlignment="1" pivotButton="0" quotePrefix="0" xfId="0">
      <alignment horizontal="right"/>
    </xf>
    <xf numFmtId="164" fontId="0" fillId="0" borderId="0" pivotButton="0" quotePrefix="0" xfId="0"/>
    <xf numFmtId="164" fontId="14" fillId="0" borderId="2" applyAlignment="1" pivotButton="0" quotePrefix="0" xfId="0">
      <alignment horizontal="right"/>
    </xf>
  </cellXfs>
  <cellStyles count="1">
    <cellStyle name="Normal" xfId="0" builtinId="0"/>
  </cellStyle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6D5"/>
      <rgbColor rgb="FFEEF1F3"/>
      <rgbColor rgb="FF660066"/>
      <rgbColor rgb="FFFF8080"/>
      <rgbColor rgb="FF0066CC"/>
      <rgbColor rgb="FFD0D4D8"/>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2F3437"/>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comments/comment1.xml><?xml version="1.0" encoding="utf-8"?>
<comments xmlns="http://schemas.openxmlformats.org/spreadsheetml/2006/main">
  <authors>
    <author>Unknown Author</author>
  </authors>
  <commentList>
    <comment ref="H1" authorId="0" shapeId="0">
      <text>
        <t>Formulas - count rows on Selections for this Project ID.</t>
      </text>
    </comment>
    <comment ref="L1" authorId="0" shapeId="0">
      <text>
        <t>Optional: web link or local path to a rendering/photo for the lookbook cover.</t>
      </text>
    </comment>
  </commentList>
</comments>
</file>

<file path=xl/comments/comment2.xml><?xml version="1.0" encoding="utf-8"?>
<comments xmlns="http://schemas.openxmlformats.org/spreadsheetml/2006/main">
  <authors>
    <author>Unknown Author</author>
  </authors>
  <commentList>
    <comment ref="F1" authorId="0" shapeId="0">
      <text>
        <t>Type the model / SKU exactly as the manufacturer lists it.</t>
      </text>
    </comment>
    <comment ref="L1" authorId="0" shapeId="0">
      <text>
        <t>Set to 'Verified' after you confirm the link. Verified rows are never overwritten by find_urls.py.</t>
      </text>
    </comment>
  </commentList>
</comment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3.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sheet1.xml><?xml version="1.0" encoding="utf-8"?>
<worksheet xmlns="http://schemas.openxmlformats.org/spreadsheetml/2006/main">
  <sheetPr>
    <outlinePr summaryBelow="1" summaryRight="1"/>
    <pageSetUpPr/>
  </sheetPr>
  <dimension ref="A1:A46"/>
  <sheetViews>
    <sheetView showGridLines="0" zoomScaleNormal="100" workbookViewId="0">
      <selection activeCell="A5" sqref="A5"/>
    </sheetView>
  </sheetViews>
  <sheetFormatPr baseColWidth="8" defaultColWidth="8.6328125" defaultRowHeight="14.5"/>
  <cols>
    <col width="118" customWidth="1" style="4" min="1" max="1"/>
    <col width="8.6328125" customWidth="1" style="4" min="2" max="16384"/>
  </cols>
  <sheetData>
    <row r="1" ht="20" customHeight="1">
      <c r="A1" s="15" t="inlineStr">
        <is>
          <t>UH Homes - Selections Tracker</t>
        </is>
      </c>
    </row>
    <row r="2">
      <c r="A2" s="16" t="n"/>
    </row>
    <row r="3" ht="15.5" customHeight="1">
      <c r="A3" s="16" t="inlineStr">
        <is>
          <t>This workbook is the source of truth. You can type directly into it, or use the web app (python app.py, then open the address it prints). Both read and write these same sheets.</t>
        </is>
      </c>
    </row>
    <row r="4">
      <c r="A4" s="16" t="n"/>
    </row>
    <row r="5">
      <c r="A5" s="17" t="inlineStr">
        <is>
          <t>How the workflow runs</t>
        </is>
      </c>
    </row>
    <row r="6">
      <c r="A6" s="16" t="inlineStr">
        <is>
          <t>1. Projects sheet - one row per project, with a unique Project ID such as UH-101.</t>
        </is>
      </c>
    </row>
    <row r="7">
      <c r="A7" s="16" t="inlineStr">
        <is>
          <t>2. Selections sheet - one row per product. Fill the entry columns listed below.</t>
        </is>
      </c>
    </row>
    <row r="8">
      <c r="A8" s="16" t="inlineStr">
        <is>
          <t>3. Product links - the web app finds them automatically while it is running, or run python find_urls.py (add --project UH-101 for one project, --dry-run to preview).</t>
        </is>
      </c>
    </row>
    <row r="9">
      <c r="A9" s="16" t="inlineStr">
        <is>
          <t>4. Review each link against the real product page, then set Lookup Status to Verified. Verified rows are never overwritten automatically.</t>
        </is>
      </c>
    </row>
    <row r="10" ht="15.5" customHeight="1">
      <c r="A10" s="16" t="inlineStr">
        <is>
          <t>5. Client Status records the client's decision: Proposed, Presented, Approved, Rejected, Changed.</t>
        </is>
      </c>
    </row>
    <row r="11">
      <c r="A11" s="18" t="inlineStr">
        <is>
          <t>6. Export the finish schedule from the web app, or run python build_lookbook.py --project UH-101 (PDF) or build_powerpoint.py (editable deck).</t>
        </is>
      </c>
    </row>
    <row r="12">
      <c r="A12" s="19" t="n"/>
    </row>
    <row r="13">
      <c r="A13" s="17" t="inlineStr">
        <is>
          <t>Columns you fill in (Selections)</t>
        </is>
      </c>
    </row>
    <row r="14" ht="15.5" customHeight="1">
      <c r="A14" s="16" t="inlineStr">
        <is>
          <t>Project ID       Must match a Project ID on the Projects sheet. Dropdown.</t>
        </is>
      </c>
    </row>
    <row r="15">
      <c r="A15" s="16" t="inlineStr">
        <is>
          <t>Section          Category and print order; values come from the Lists sheet. Dropdown.</t>
        </is>
      </c>
    </row>
    <row r="16">
      <c r="A16" s="16" t="inlineStr">
        <is>
          <t>Room / Area      Optional location, for example Primary Bath.</t>
        </is>
      </c>
    </row>
    <row r="17">
      <c r="A17" s="16" t="inlineStr">
        <is>
          <t>Item             What the client sees, for example Kitchen Faucet. Required.</t>
        </is>
      </c>
    </row>
    <row r="18">
      <c r="A18" s="16" t="inlineStr">
        <is>
          <t>Manufacturer     Brand name. Add its official domain on the Manufacturers sheet.</t>
        </is>
      </c>
    </row>
    <row r="19">
      <c r="A19" s="16" t="inlineStr">
        <is>
          <t>Model #          Manufacturer model or SKU. Needed for automatic product lookup.</t>
        </is>
      </c>
    </row>
    <row r="20">
      <c r="A20" s="16" t="inlineStr">
        <is>
          <t>Finish / Color   For example Matte Black or SW 7010.</t>
        </is>
      </c>
    </row>
    <row r="21">
      <c r="A21" s="16" t="inlineStr">
        <is>
          <t>Qty              Leave blank or 1 to hide the quantity from the client schedule.</t>
        </is>
      </c>
    </row>
    <row r="22">
      <c r="A22" s="16" t="inlineStr">
        <is>
          <t>Unit Price       Cost per unit. The Price Schedule multiplies it by Qty and adds the markup.</t>
        </is>
      </c>
    </row>
    <row r="23">
      <c r="A23" s="16" t="inlineStr">
        <is>
          <t>Markup %         Percentage added to the line, for example 15. Leave blank for none.</t>
        </is>
      </c>
    </row>
    <row r="24">
      <c r="A24" s="16" t="inlineStr">
        <is>
          <t>Description Override  Client-facing wording for this line. Leave blank to use the description built from manufacturer, product, finish, quantity and client notes.</t>
        </is>
      </c>
    </row>
    <row r="25">
      <c r="A25" s="16" t="inlineStr">
        <is>
          <t>Client Notes     Short note printed with the item on the client schedule.</t>
        </is>
      </c>
    </row>
    <row r="26">
      <c r="A26" s="16" t="inlineStr">
        <is>
          <t>Include in Lookbook   No hides the row from client exports without deleting it. Dropdown.</t>
        </is>
      </c>
    </row>
    <row r="27">
      <c r="A27" s="16" t="inlineStr">
        <is>
          <t>Client Status    Proposed / Presented / Approved / Rejected / Changed. Dropdown.</t>
        </is>
      </c>
    </row>
    <row r="28">
      <c r="A28" s="16" t="n"/>
    </row>
    <row r="29">
      <c r="A29" s="17" t="inlineStr">
        <is>
          <t>Price Schedule sheet</t>
        </is>
      </c>
    </row>
    <row r="30">
      <c r="A30" s="16" t="inlineStr">
        <is>
          <t>Every selection grouped by project and category with S.No, Code, Description, Qty, Unit Price, Markup % and Price, plus a subtotal per category, a total per project and a grand total.</t>
        </is>
      </c>
    </row>
    <row r="31">
      <c r="A31" s="16" t="inlineStr">
        <is>
          <t>Price = Qty x Unit Price x (1 + Markup %).</t>
        </is>
      </c>
    </row>
    <row r="32">
      <c r="A32" s="16" t="inlineStr">
        <is>
          <t>It is rebuilt automatically each time the workbook is saved, so do not type into it. Enter costs in the Unit Price column on Selections and they flow through.</t>
        </is>
      </c>
    </row>
    <row r="33">
      <c r="A33" s="16" t="inlineStr">
        <is>
          <t>Prices stay internal: they never appear on the client PDF or PowerPoint.</t>
        </is>
      </c>
    </row>
    <row r="34">
      <c r="A34" s="16" t="n"/>
    </row>
    <row r="35">
      <c r="A35" s="17" t="inlineStr">
        <is>
          <t>Columns filled in for you</t>
        </is>
      </c>
    </row>
    <row r="36">
      <c r="A36" s="16" t="inlineStr">
        <is>
          <t>Product URL, Product Name, Image URL, Lookup Status, Checked On, Lookup Notes are written by the product lookup. You may correct any of them by hand.</t>
        </is>
      </c>
    </row>
    <row r="37">
      <c r="A37" s="16" t="inlineStr">
        <is>
          <t>On the Projects sheet, Total Items, Links Found, Verified and Needs Review are formulas.</t>
        </is>
      </c>
    </row>
    <row r="38">
      <c r="A38" s="16" t="n"/>
    </row>
    <row r="39">
      <c r="A39" s="17" t="inlineStr">
        <is>
          <t>Rules worth knowing</t>
        </is>
      </c>
    </row>
    <row r="40">
      <c r="A40" s="16" t="inlineStr">
        <is>
          <t>- Changing Item, Product Name, Manufacturer, Model # or Finish clears the old link and verification, because they no longer describe the same product.</t>
        </is>
      </c>
    </row>
    <row r="41">
      <c r="A41" s="16" t="inlineStr">
        <is>
          <t>- A Verified link older than six months is flagged for re-checking in the web app.</t>
        </is>
      </c>
    </row>
    <row r="42">
      <c r="A42" s="16" t="inlineStr">
        <is>
          <t>- Close this workbook in Excel before saving from the web app; the app will not write to a file Excel has open.</t>
        </is>
      </c>
    </row>
    <row r="43">
      <c r="A43" s="16" t="inlineStr">
        <is>
          <t>- Every save keeps a timestamped copy in the backups folder.</t>
        </is>
      </c>
    </row>
    <row r="44">
      <c r="A44" s="16" t="inlineStr">
        <is>
          <t>- Product URLs and images are internal review aids and never appear on client documents.</t>
        </is>
      </c>
    </row>
    <row r="45">
      <c r="A45" s="16" t="inlineStr">
        <is>
          <t>- Section order on the Lists sheet controls the order of categories in the client schedule.</t>
        </is>
      </c>
    </row>
    <row r="46">
      <c r="A46" s="16" t="n"/>
    </row>
  </sheetData>
  <pageMargins left="0.75" right="0.75" top="1" bottom="1" header="0.511811023622047" footer="0.511811023622047"/>
  <pageSetup orientation="portrait" paperSize="9" horizontalDpi="300" verticalDpi="300"/>
</worksheet>
</file>

<file path=xl/worksheets/sheet2.xml><?xml version="1.0" encoding="utf-8"?>
<worksheet xmlns="http://schemas.openxmlformats.org/spreadsheetml/2006/main">
  <sheetPr>
    <outlinePr summaryBelow="1" summaryRight="1"/>
    <pageSetUpPr/>
  </sheetPr>
  <dimension ref="A1:L51"/>
  <sheetViews>
    <sheetView tabSelected="1" zoomScaleNormal="100" workbookViewId="0">
      <pane ySplit="1" topLeftCell="A2" activePane="bottomLeft" state="frozen"/>
      <selection pane="bottomLeft" activeCell="H17" sqref="H17"/>
    </sheetView>
  </sheetViews>
  <sheetFormatPr baseColWidth="8" defaultColWidth="8.6328125" defaultRowHeight="14.5"/>
  <cols>
    <col width="12" customWidth="1" min="1" max="1"/>
    <col width="26" customWidth="1" min="2" max="2"/>
    <col width="22" customWidth="1" min="3" max="3"/>
    <col width="34" customWidth="1" min="4" max="4"/>
    <col width="18" customWidth="1" min="5" max="6"/>
    <col width="18" customWidth="1" min="7" max="7"/>
    <col width="11" customWidth="1" min="8" max="9"/>
    <col width="10" customWidth="1" min="10" max="10"/>
    <col width="12" customWidth="1" min="11" max="11"/>
    <col width="30" customWidth="1" min="12" max="12"/>
  </cols>
  <sheetData>
    <row r="1" ht="30" customHeight="1">
      <c r="A1" s="3" t="inlineStr">
        <is>
          <t>Project ID</t>
        </is>
      </c>
      <c r="B1" s="3" t="inlineStr">
        <is>
          <t>Project Name</t>
        </is>
      </c>
      <c r="C1" s="3" t="inlineStr">
        <is>
          <t>Client Name</t>
        </is>
      </c>
      <c r="D1" s="3" t="inlineStr">
        <is>
          <t>Address</t>
        </is>
      </c>
      <c r="E1" s="3" t="inlineStr">
        <is>
          <t>Plan / Elevation</t>
        </is>
      </c>
      <c r="F1" s="3" t="inlineStr">
        <is>
          <t>Designer</t>
        </is>
      </c>
      <c r="G1" s="3" t="inlineStr">
        <is>
          <t>Presentation Date</t>
        </is>
      </c>
      <c r="H1" s="3" t="inlineStr">
        <is>
          <t>Total Items</t>
        </is>
      </c>
      <c r="I1" s="3" t="inlineStr">
        <is>
          <t>Links Found</t>
        </is>
      </c>
      <c r="J1" s="3" t="inlineStr">
        <is>
          <t>Verified</t>
        </is>
      </c>
      <c r="K1" s="3" t="inlineStr">
        <is>
          <t>Needs Review</t>
        </is>
      </c>
      <c r="L1" s="3" t="inlineStr">
        <is>
          <t>Cover Image</t>
        </is>
      </c>
    </row>
    <row r="2">
      <c r="A2" s="7" t="inlineStr">
        <is>
          <t>UH-101</t>
        </is>
      </c>
      <c r="B2" s="7" t="inlineStr">
        <is>
          <t>The Magnolia Residence</t>
        </is>
      </c>
      <c r="C2" s="7" t="inlineStr">
        <is>
          <t>Example Client A</t>
        </is>
      </c>
      <c r="D2" s="7" t="inlineStr">
        <is>
          <t>123 Example Ln, Frisco, TX</t>
        </is>
      </c>
      <c r="E2" s="7" t="inlineStr">
        <is>
          <t>Plan 2840 / Elev. B</t>
        </is>
      </c>
      <c r="F2" s="7" t="inlineStr">
        <is>
          <t>Designer Name</t>
        </is>
      </c>
      <c r="G2" s="7" t="inlineStr">
        <is>
          <t>2026-10-01</t>
        </is>
      </c>
      <c r="H2" s="8">
        <f>IF(A2="","",COUNTIF(Selections!$A:$A,A2))</f>
        <v/>
      </c>
      <c r="I2" s="8">
        <f>IF(A2="","",COUNTIFS(Selections!$A:$A,A2,Selections!$I:$I,"?*"))</f>
        <v/>
      </c>
      <c r="J2" s="8">
        <f>IF(A2="","",COUNTIFS(Selections!$A:$A,A2,Selections!$L:$L,"Verified"))</f>
        <v/>
      </c>
      <c r="K2" s="8">
        <f>IF(A2="","",H2-J2)</f>
        <v/>
      </c>
      <c r="L2" s="7" t="n"/>
    </row>
    <row r="3">
      <c r="A3" s="7" t="inlineStr">
        <is>
          <t>UH-102</t>
        </is>
      </c>
      <c r="B3" s="7" t="inlineStr">
        <is>
          <t>Cedar Ridge Custom Build</t>
        </is>
      </c>
      <c r="C3" s="7" t="inlineStr">
        <is>
          <t>Example Client B</t>
        </is>
      </c>
      <c r="D3" s="7" t="inlineStr">
        <is>
          <t>456 Sample Dr, Prosper, TX</t>
        </is>
      </c>
      <c r="E3" s="7" t="inlineStr">
        <is>
          <t>Plan 3310 / Elev. A</t>
        </is>
      </c>
      <c r="F3" s="7" t="inlineStr">
        <is>
          <t>Designer Name</t>
        </is>
      </c>
      <c r="G3" s="7" t="inlineStr">
        <is>
          <t>2026-10-15</t>
        </is>
      </c>
      <c r="H3" s="8">
        <f>IF(A3="","",COUNTIF(Selections!$A:$A,A3))</f>
        <v/>
      </c>
      <c r="I3" s="8">
        <f>IF(A3="","",COUNTIFS(Selections!$A:$A,A3,Selections!$I:$I,"?*"))</f>
        <v/>
      </c>
      <c r="J3" s="8">
        <f>IF(A3="","",COUNTIFS(Selections!$A:$A,A3,Selections!$L:$L,"Verified"))</f>
        <v/>
      </c>
      <c r="K3" s="8">
        <f>IF(A3="","",H3-J3)</f>
        <v/>
      </c>
      <c r="L3" s="7" t="n"/>
    </row>
    <row r="4">
      <c r="A4" s="7" t="inlineStr">
        <is>
          <t>UH-103</t>
        </is>
      </c>
      <c r="B4" s="7" t="inlineStr">
        <is>
          <t>Velora</t>
        </is>
      </c>
      <c r="C4" s="7" t="inlineStr">
        <is>
          <t>Ravi Y</t>
        </is>
      </c>
      <c r="D4" s="7" t="inlineStr">
        <is>
          <t>901 Paris Dr, Propser, TX</t>
        </is>
      </c>
      <c r="E4" s="7" t="inlineStr">
        <is>
          <t>Plan 111 / Elev. A</t>
        </is>
      </c>
      <c r="F4" s="7" t="inlineStr">
        <is>
          <t>None</t>
        </is>
      </c>
      <c r="G4" s="14" t="n">
        <v>46282</v>
      </c>
      <c r="H4" s="8">
        <f>IF(A4="","",COUNTIF(Selections!$A:$A,A4))</f>
        <v/>
      </c>
      <c r="I4" s="8">
        <f>IF(A4="","",COUNTIFS(Selections!$A:$A,A4,Selections!$I:$I,"?*"))</f>
        <v/>
      </c>
      <c r="J4" s="8">
        <f>IF(A4="","",COUNTIFS(Selections!$A:$A,A4,Selections!$L:$L,"Verified"))</f>
        <v/>
      </c>
      <c r="K4" s="8">
        <f>IF(A4="","",H4-J4)</f>
        <v/>
      </c>
      <c r="L4" s="7" t="n"/>
    </row>
    <row r="5">
      <c r="A5" s="7" t="n"/>
      <c r="B5" s="7" t="n"/>
      <c r="C5" s="7" t="n"/>
      <c r="D5" s="7" t="n"/>
      <c r="E5" s="7" t="n"/>
      <c r="F5" s="7" t="n"/>
      <c r="G5" s="7" t="n"/>
      <c r="H5" s="8">
        <f>IF(A5="","",COUNTIF(Selections!$A:$A,A5))</f>
        <v/>
      </c>
      <c r="I5" s="8">
        <f>IF(A5="","",COUNTIFS(Selections!$A:$A,A5,Selections!$I:$I,"?*"))</f>
        <v/>
      </c>
      <c r="J5" s="8">
        <f>IF(A5="","",COUNTIFS(Selections!$A:$A,A5,Selections!$L:$L,"Verified"))</f>
        <v/>
      </c>
      <c r="K5" s="8">
        <f>IF(A5="","",H5-J5)</f>
        <v/>
      </c>
      <c r="L5" s="7" t="n"/>
    </row>
    <row r="6">
      <c r="A6" s="7" t="n"/>
      <c r="B6" s="7" t="n"/>
      <c r="C6" s="7" t="n"/>
      <c r="D6" s="7" t="n"/>
      <c r="E6" s="7" t="n"/>
      <c r="F6" s="7" t="n"/>
      <c r="G6" s="7" t="n"/>
      <c r="H6" s="8">
        <f>IF(A6="","",COUNTIF(Selections!$A:$A,A6))</f>
        <v/>
      </c>
      <c r="I6" s="8">
        <f>IF(A6="","",COUNTIFS(Selections!$A:$A,A6,Selections!$I:$I,"?*"))</f>
        <v/>
      </c>
      <c r="J6" s="8">
        <f>IF(A6="","",COUNTIFS(Selections!$A:$A,A6,Selections!$L:$L,"Verified"))</f>
        <v/>
      </c>
      <c r="K6" s="8">
        <f>IF(A6="","",H6-J6)</f>
        <v/>
      </c>
      <c r="L6" s="7" t="n"/>
    </row>
    <row r="7">
      <c r="A7" s="7" t="n"/>
      <c r="B7" s="7" t="n"/>
      <c r="C7" s="7" t="n"/>
      <c r="D7" s="7" t="n"/>
      <c r="E7" s="7" t="n"/>
      <c r="F7" s="7" t="n"/>
      <c r="G7" s="7" t="n"/>
      <c r="H7" s="8">
        <f>IF(A7="","",COUNTIF(Selections!$A:$A,A7))</f>
        <v/>
      </c>
      <c r="I7" s="8">
        <f>IF(A7="","",COUNTIFS(Selections!$A:$A,A7,Selections!$I:$I,"?*"))</f>
        <v/>
      </c>
      <c r="J7" s="8">
        <f>IF(A7="","",COUNTIFS(Selections!$A:$A,A7,Selections!$L:$L,"Verified"))</f>
        <v/>
      </c>
      <c r="K7" s="8">
        <f>IF(A7="","",H7-J7)</f>
        <v/>
      </c>
      <c r="L7" s="7" t="n"/>
    </row>
    <row r="8">
      <c r="A8" s="7" t="n"/>
      <c r="B8" s="7" t="n"/>
      <c r="C8" s="7" t="n"/>
      <c r="D8" s="7" t="n"/>
      <c r="E8" s="7" t="n"/>
      <c r="F8" s="7" t="n"/>
      <c r="G8" s="7" t="n"/>
      <c r="H8" s="8">
        <f>IF(A8="","",COUNTIF(Selections!$A:$A,A8))</f>
        <v/>
      </c>
      <c r="I8" s="8">
        <f>IF(A8="","",COUNTIFS(Selections!$A:$A,A8,Selections!$I:$I,"?*"))</f>
        <v/>
      </c>
      <c r="J8" s="8">
        <f>IF(A8="","",COUNTIFS(Selections!$A:$A,A8,Selections!$L:$L,"Verified"))</f>
        <v/>
      </c>
      <c r="K8" s="8">
        <f>IF(A8="","",H8-J8)</f>
        <v/>
      </c>
      <c r="L8" s="7" t="n"/>
    </row>
    <row r="9">
      <c r="A9" s="7" t="n"/>
      <c r="B9" s="7" t="n"/>
      <c r="C9" s="7" t="n"/>
      <c r="D9" s="7" t="n"/>
      <c r="E9" s="7" t="n"/>
      <c r="F9" s="7" t="n"/>
      <c r="G9" s="7" t="n"/>
      <c r="H9" s="8">
        <f>IF(A9="","",COUNTIF(Selections!$A:$A,A9))</f>
        <v/>
      </c>
      <c r="I9" s="8">
        <f>IF(A9="","",COUNTIFS(Selections!$A:$A,A9,Selections!$I:$I,"?*"))</f>
        <v/>
      </c>
      <c r="J9" s="8">
        <f>IF(A9="","",COUNTIFS(Selections!$A:$A,A9,Selections!$L:$L,"Verified"))</f>
        <v/>
      </c>
      <c r="K9" s="8">
        <f>IF(A9="","",H9-J9)</f>
        <v/>
      </c>
      <c r="L9" s="7" t="n"/>
    </row>
    <row r="10">
      <c r="A10" s="7" t="n"/>
      <c r="B10" s="7" t="n"/>
      <c r="C10" s="7" t="n"/>
      <c r="D10" s="7" t="n"/>
      <c r="E10" s="7" t="n"/>
      <c r="F10" s="7" t="n"/>
      <c r="G10" s="7" t="n"/>
      <c r="H10" s="8">
        <f>IF(A10="","",COUNTIF(Selections!$A:$A,A10))</f>
        <v/>
      </c>
      <c r="I10" s="8">
        <f>IF(A10="","",COUNTIFS(Selections!$A:$A,A10,Selections!$I:$I,"?*"))</f>
        <v/>
      </c>
      <c r="J10" s="8">
        <f>IF(A10="","",COUNTIFS(Selections!$A:$A,A10,Selections!$L:$L,"Verified"))</f>
        <v/>
      </c>
      <c r="K10" s="8">
        <f>IF(A10="","",H10-J10)</f>
        <v/>
      </c>
      <c r="L10" s="7" t="n"/>
    </row>
    <row r="11">
      <c r="A11" s="7" t="n"/>
      <c r="B11" s="7" t="n"/>
      <c r="C11" s="7" t="n"/>
      <c r="D11" s="7" t="n"/>
      <c r="E11" s="7" t="n"/>
      <c r="F11" s="7" t="n"/>
      <c r="G11" s="7" t="n"/>
      <c r="H11" s="8">
        <f>IF(A11="","",COUNTIF(Selections!$A:$A,A11))</f>
        <v/>
      </c>
      <c r="I11" s="8">
        <f>IF(A11="","",COUNTIFS(Selections!$A:$A,A11,Selections!$I:$I,"?*"))</f>
        <v/>
      </c>
      <c r="J11" s="8">
        <f>IF(A11="","",COUNTIFS(Selections!$A:$A,A11,Selections!$L:$L,"Verified"))</f>
        <v/>
      </c>
      <c r="K11" s="8">
        <f>IF(A11="","",H11-J11)</f>
        <v/>
      </c>
      <c r="L11" s="7" t="n"/>
    </row>
    <row r="12">
      <c r="A12" s="7" t="n"/>
      <c r="B12" s="7" t="n"/>
      <c r="C12" s="7" t="n"/>
      <c r="D12" s="7" t="n"/>
      <c r="E12" s="7" t="n"/>
      <c r="F12" s="7" t="n"/>
      <c r="G12" s="7" t="n"/>
      <c r="H12" s="8">
        <f>IF(A12="","",COUNTIF(Selections!$A:$A,A12))</f>
        <v/>
      </c>
      <c r="I12" s="8">
        <f>IF(A12="","",COUNTIFS(Selections!$A:$A,A12,Selections!$I:$I,"?*"))</f>
        <v/>
      </c>
      <c r="J12" s="8">
        <f>IF(A12="","",COUNTIFS(Selections!$A:$A,A12,Selections!$L:$L,"Verified"))</f>
        <v/>
      </c>
      <c r="K12" s="8">
        <f>IF(A12="","",H12-J12)</f>
        <v/>
      </c>
      <c r="L12" s="7" t="n"/>
    </row>
    <row r="13">
      <c r="A13" s="7" t="n"/>
      <c r="B13" s="7" t="n"/>
      <c r="C13" s="7" t="n"/>
      <c r="D13" s="7" t="n"/>
      <c r="E13" s="7" t="n"/>
      <c r="F13" s="7" t="n"/>
      <c r="G13" s="7" t="n"/>
      <c r="H13" s="8">
        <f>IF(A13="","",COUNTIF(Selections!$A:$A,A13))</f>
        <v/>
      </c>
      <c r="I13" s="8">
        <f>IF(A13="","",COUNTIFS(Selections!$A:$A,A13,Selections!$I:$I,"?*"))</f>
        <v/>
      </c>
      <c r="J13" s="8">
        <f>IF(A13="","",COUNTIFS(Selections!$A:$A,A13,Selections!$L:$L,"Verified"))</f>
        <v/>
      </c>
      <c r="K13" s="8">
        <f>IF(A13="","",H13-J13)</f>
        <v/>
      </c>
      <c r="L13" s="7" t="n"/>
    </row>
    <row r="14">
      <c r="A14" s="7" t="n"/>
      <c r="B14" s="7" t="n"/>
      <c r="C14" s="7" t="n"/>
      <c r="D14" s="7" t="n"/>
      <c r="E14" s="7" t="n"/>
      <c r="F14" s="7" t="n"/>
      <c r="G14" s="7" t="n"/>
      <c r="H14" s="8">
        <f>IF(A14="","",COUNTIF(Selections!$A:$A,A14))</f>
        <v/>
      </c>
      <c r="I14" s="8">
        <f>IF(A14="","",COUNTIFS(Selections!$A:$A,A14,Selections!$I:$I,"?*"))</f>
        <v/>
      </c>
      <c r="J14" s="8">
        <f>IF(A14="","",COUNTIFS(Selections!$A:$A,A14,Selections!$L:$L,"Verified"))</f>
        <v/>
      </c>
      <c r="K14" s="8">
        <f>IF(A14="","",H14-J14)</f>
        <v/>
      </c>
      <c r="L14" s="7" t="n"/>
    </row>
    <row r="15">
      <c r="A15" s="7" t="n"/>
      <c r="B15" s="7" t="n"/>
      <c r="C15" s="7" t="n"/>
      <c r="D15" s="7" t="n"/>
      <c r="E15" s="7" t="n"/>
      <c r="F15" s="7" t="n"/>
      <c r="G15" s="7" t="n"/>
      <c r="H15" s="8">
        <f>IF(A15="","",COUNTIF(Selections!$A:$A,A15))</f>
        <v/>
      </c>
      <c r="I15" s="8">
        <f>IF(A15="","",COUNTIFS(Selections!$A:$A,A15,Selections!$I:$I,"?*"))</f>
        <v/>
      </c>
      <c r="J15" s="8">
        <f>IF(A15="","",COUNTIFS(Selections!$A:$A,A15,Selections!$L:$L,"Verified"))</f>
        <v/>
      </c>
      <c r="K15" s="8">
        <f>IF(A15="","",H15-J15)</f>
        <v/>
      </c>
      <c r="L15" s="7" t="n"/>
    </row>
    <row r="16">
      <c r="A16" s="7" t="n"/>
      <c r="B16" s="7" t="n"/>
      <c r="C16" s="7" t="n"/>
      <c r="D16" s="7" t="n"/>
      <c r="E16" s="7" t="n"/>
      <c r="F16" s="7" t="n"/>
      <c r="G16" s="7" t="n"/>
      <c r="H16" s="8">
        <f>IF(A16="","",COUNTIF(Selections!$A:$A,A16))</f>
        <v/>
      </c>
      <c r="I16" s="8">
        <f>IF(A16="","",COUNTIFS(Selections!$A:$A,A16,Selections!$I:$I,"?*"))</f>
        <v/>
      </c>
      <c r="J16" s="8">
        <f>IF(A16="","",COUNTIFS(Selections!$A:$A,A16,Selections!$L:$L,"Verified"))</f>
        <v/>
      </c>
      <c r="K16" s="8">
        <f>IF(A16="","",H16-J16)</f>
        <v/>
      </c>
      <c r="L16" s="7" t="n"/>
    </row>
    <row r="17">
      <c r="A17" s="7" t="n"/>
      <c r="B17" s="7" t="n"/>
      <c r="C17" s="7" t="n"/>
      <c r="D17" s="7" t="n"/>
      <c r="E17" s="7" t="n"/>
      <c r="F17" s="7" t="n"/>
      <c r="G17" s="7" t="n"/>
      <c r="H17" s="8">
        <f>IF(A17="","",COUNTIF(Selections!$A:$A,A17))</f>
        <v/>
      </c>
      <c r="I17" s="8">
        <f>IF(A17="","",COUNTIFS(Selections!$A:$A,A17,Selections!$I:$I,"?*"))</f>
        <v/>
      </c>
      <c r="J17" s="8">
        <f>IF(A17="","",COUNTIFS(Selections!$A:$A,A17,Selections!$L:$L,"Verified"))</f>
        <v/>
      </c>
      <c r="K17" s="8">
        <f>IF(A17="","",H17-J17)</f>
        <v/>
      </c>
      <c r="L17" s="7" t="n"/>
    </row>
    <row r="18">
      <c r="A18" s="7" t="n"/>
      <c r="B18" s="7" t="n"/>
      <c r="C18" s="7" t="n"/>
      <c r="D18" s="7" t="n"/>
      <c r="E18" s="7" t="n"/>
      <c r="F18" s="7" t="n"/>
      <c r="G18" s="7" t="n"/>
      <c r="H18" s="8">
        <f>IF(A18="","",COUNTIF(Selections!$A:$A,A18))</f>
        <v/>
      </c>
      <c r="I18" s="8">
        <f>IF(A18="","",COUNTIFS(Selections!$A:$A,A18,Selections!$I:$I,"?*"))</f>
        <v/>
      </c>
      <c r="J18" s="8">
        <f>IF(A18="","",COUNTIFS(Selections!$A:$A,A18,Selections!$L:$L,"Verified"))</f>
        <v/>
      </c>
      <c r="K18" s="8">
        <f>IF(A18="","",H18-J18)</f>
        <v/>
      </c>
      <c r="L18" s="7" t="n"/>
    </row>
    <row r="19">
      <c r="A19" s="7" t="n"/>
      <c r="B19" s="7" t="n"/>
      <c r="C19" s="7" t="n"/>
      <c r="D19" s="7" t="n"/>
      <c r="E19" s="7" t="n"/>
      <c r="F19" s="7" t="n"/>
      <c r="G19" s="7" t="n"/>
      <c r="H19" s="8">
        <f>IF(A19="","",COUNTIF(Selections!$A:$A,A19))</f>
        <v/>
      </c>
      <c r="I19" s="8">
        <f>IF(A19="","",COUNTIFS(Selections!$A:$A,A19,Selections!$I:$I,"?*"))</f>
        <v/>
      </c>
      <c r="J19" s="8">
        <f>IF(A19="","",COUNTIFS(Selections!$A:$A,A19,Selections!$L:$L,"Verified"))</f>
        <v/>
      </c>
      <c r="K19" s="8">
        <f>IF(A19="","",H19-J19)</f>
        <v/>
      </c>
      <c r="L19" s="7" t="n"/>
    </row>
    <row r="20">
      <c r="A20" s="7" t="n"/>
      <c r="B20" s="7" t="n"/>
      <c r="C20" s="7" t="n"/>
      <c r="D20" s="7" t="n"/>
      <c r="E20" s="7" t="n"/>
      <c r="F20" s="7" t="n"/>
      <c r="G20" s="7" t="n"/>
      <c r="H20" s="8">
        <f>IF(A20="","",COUNTIF(Selections!$A:$A,A20))</f>
        <v/>
      </c>
      <c r="I20" s="8">
        <f>IF(A20="","",COUNTIFS(Selections!$A:$A,A20,Selections!$I:$I,"?*"))</f>
        <v/>
      </c>
      <c r="J20" s="8">
        <f>IF(A20="","",COUNTIFS(Selections!$A:$A,A20,Selections!$L:$L,"Verified"))</f>
        <v/>
      </c>
      <c r="K20" s="8">
        <f>IF(A20="","",H20-J20)</f>
        <v/>
      </c>
      <c r="L20" s="7" t="n"/>
    </row>
    <row r="21">
      <c r="A21" s="7" t="n"/>
      <c r="B21" s="7" t="n"/>
      <c r="C21" s="7" t="n"/>
      <c r="D21" s="7" t="n"/>
      <c r="E21" s="7" t="n"/>
      <c r="F21" s="7" t="n"/>
      <c r="G21" s="7" t="n"/>
      <c r="H21" s="8">
        <f>IF(A21="","",COUNTIF(Selections!$A:$A,A21))</f>
        <v/>
      </c>
      <c r="I21" s="8">
        <f>IF(A21="","",COUNTIFS(Selections!$A:$A,A21,Selections!$I:$I,"?*"))</f>
        <v/>
      </c>
      <c r="J21" s="8">
        <f>IF(A21="","",COUNTIFS(Selections!$A:$A,A21,Selections!$L:$L,"Verified"))</f>
        <v/>
      </c>
      <c r="K21" s="8">
        <f>IF(A21="","",H21-J21)</f>
        <v/>
      </c>
      <c r="L21" s="7" t="n"/>
    </row>
    <row r="22">
      <c r="A22" s="7" t="n"/>
      <c r="B22" s="7" t="n"/>
      <c r="C22" s="7" t="n"/>
      <c r="D22" s="7" t="n"/>
      <c r="E22" s="7" t="n"/>
      <c r="F22" s="7" t="n"/>
      <c r="G22" s="7" t="n"/>
      <c r="H22" s="8">
        <f>IF(A22="","",COUNTIF(Selections!$A:$A,A22))</f>
        <v/>
      </c>
      <c r="I22" s="8">
        <f>IF(A22="","",COUNTIFS(Selections!$A:$A,A22,Selections!$I:$I,"?*"))</f>
        <v/>
      </c>
      <c r="J22" s="8">
        <f>IF(A22="","",COUNTIFS(Selections!$A:$A,A22,Selections!$L:$L,"Verified"))</f>
        <v/>
      </c>
      <c r="K22" s="8">
        <f>IF(A22="","",H22-J22)</f>
        <v/>
      </c>
      <c r="L22" s="7" t="n"/>
    </row>
    <row r="23">
      <c r="A23" s="7" t="n"/>
      <c r="B23" s="7" t="n"/>
      <c r="C23" s="7" t="n"/>
      <c r="D23" s="7" t="n"/>
      <c r="E23" s="7" t="n"/>
      <c r="F23" s="7" t="n"/>
      <c r="G23" s="7" t="n"/>
      <c r="H23" s="8">
        <f>IF(A23="","",COUNTIF(Selections!$A:$A,A23))</f>
        <v/>
      </c>
      <c r="I23" s="8">
        <f>IF(A23="","",COUNTIFS(Selections!$A:$A,A23,Selections!$I:$I,"?*"))</f>
        <v/>
      </c>
      <c r="J23" s="8">
        <f>IF(A23="","",COUNTIFS(Selections!$A:$A,A23,Selections!$L:$L,"Verified"))</f>
        <v/>
      </c>
      <c r="K23" s="8">
        <f>IF(A23="","",H23-J23)</f>
        <v/>
      </c>
      <c r="L23" s="7" t="n"/>
    </row>
    <row r="24">
      <c r="A24" s="7" t="n"/>
      <c r="B24" s="7" t="n"/>
      <c r="C24" s="7" t="n"/>
      <c r="D24" s="7" t="n"/>
      <c r="E24" s="7" t="n"/>
      <c r="F24" s="7" t="n"/>
      <c r="G24" s="7" t="n"/>
      <c r="H24" s="8">
        <f>IF(A24="","",COUNTIF(Selections!$A:$A,A24))</f>
        <v/>
      </c>
      <c r="I24" s="8">
        <f>IF(A24="","",COUNTIFS(Selections!$A:$A,A24,Selections!$I:$I,"?*"))</f>
        <v/>
      </c>
      <c r="J24" s="8">
        <f>IF(A24="","",COUNTIFS(Selections!$A:$A,A24,Selections!$L:$L,"Verified"))</f>
        <v/>
      </c>
      <c r="K24" s="8">
        <f>IF(A24="","",H24-J24)</f>
        <v/>
      </c>
      <c r="L24" s="7" t="n"/>
    </row>
    <row r="25">
      <c r="A25" s="7" t="n"/>
      <c r="B25" s="7" t="n"/>
      <c r="C25" s="7" t="n"/>
      <c r="D25" s="7" t="n"/>
      <c r="E25" s="7" t="n"/>
      <c r="F25" s="7" t="n"/>
      <c r="G25" s="7" t="n"/>
      <c r="H25" s="8">
        <f>IF(A25="","",COUNTIF(Selections!$A:$A,A25))</f>
        <v/>
      </c>
      <c r="I25" s="8">
        <f>IF(A25="","",COUNTIFS(Selections!$A:$A,A25,Selections!$I:$I,"?*"))</f>
        <v/>
      </c>
      <c r="J25" s="8">
        <f>IF(A25="","",COUNTIFS(Selections!$A:$A,A25,Selections!$L:$L,"Verified"))</f>
        <v/>
      </c>
      <c r="K25" s="8">
        <f>IF(A25="","",H25-J25)</f>
        <v/>
      </c>
      <c r="L25" s="7" t="n"/>
    </row>
    <row r="26">
      <c r="A26" s="7" t="n"/>
      <c r="B26" s="7" t="n"/>
      <c r="C26" s="7" t="n"/>
      <c r="D26" s="7" t="n"/>
      <c r="E26" s="7" t="n"/>
      <c r="F26" s="7" t="n"/>
      <c r="G26" s="7" t="n"/>
      <c r="H26" s="8">
        <f>IF(A26="","",COUNTIF(Selections!$A:$A,A26))</f>
        <v/>
      </c>
      <c r="I26" s="8">
        <f>IF(A26="","",COUNTIFS(Selections!$A:$A,A26,Selections!$I:$I,"?*"))</f>
        <v/>
      </c>
      <c r="J26" s="8">
        <f>IF(A26="","",COUNTIFS(Selections!$A:$A,A26,Selections!$L:$L,"Verified"))</f>
        <v/>
      </c>
      <c r="K26" s="8">
        <f>IF(A26="","",H26-J26)</f>
        <v/>
      </c>
      <c r="L26" s="7" t="n"/>
    </row>
    <row r="27">
      <c r="A27" s="7" t="n"/>
      <c r="B27" s="7" t="n"/>
      <c r="C27" s="7" t="n"/>
      <c r="D27" s="7" t="n"/>
      <c r="E27" s="7" t="n"/>
      <c r="F27" s="7" t="n"/>
      <c r="G27" s="7" t="n"/>
      <c r="H27" s="8">
        <f>IF(A27="","",COUNTIF(Selections!$A:$A,A27))</f>
        <v/>
      </c>
      <c r="I27" s="8">
        <f>IF(A27="","",COUNTIFS(Selections!$A:$A,A27,Selections!$I:$I,"?*"))</f>
        <v/>
      </c>
      <c r="J27" s="8">
        <f>IF(A27="","",COUNTIFS(Selections!$A:$A,A27,Selections!$L:$L,"Verified"))</f>
        <v/>
      </c>
      <c r="K27" s="8">
        <f>IF(A27="","",H27-J27)</f>
        <v/>
      </c>
      <c r="L27" s="7" t="n"/>
    </row>
    <row r="28">
      <c r="A28" s="7" t="n"/>
      <c r="B28" s="7" t="n"/>
      <c r="C28" s="7" t="n"/>
      <c r="D28" s="7" t="n"/>
      <c r="E28" s="7" t="n"/>
      <c r="F28" s="7" t="n"/>
      <c r="G28" s="7" t="n"/>
      <c r="H28" s="8">
        <f>IF(A28="","",COUNTIF(Selections!$A:$A,A28))</f>
        <v/>
      </c>
      <c r="I28" s="8">
        <f>IF(A28="","",COUNTIFS(Selections!$A:$A,A28,Selections!$I:$I,"?*"))</f>
        <v/>
      </c>
      <c r="J28" s="8">
        <f>IF(A28="","",COUNTIFS(Selections!$A:$A,A28,Selections!$L:$L,"Verified"))</f>
        <v/>
      </c>
      <c r="K28" s="8">
        <f>IF(A28="","",H28-J28)</f>
        <v/>
      </c>
      <c r="L28" s="7" t="n"/>
    </row>
    <row r="29">
      <c r="A29" s="7" t="n"/>
      <c r="B29" s="7" t="n"/>
      <c r="C29" s="7" t="n"/>
      <c r="D29" s="7" t="n"/>
      <c r="E29" s="7" t="n"/>
      <c r="F29" s="7" t="n"/>
      <c r="G29" s="7" t="n"/>
      <c r="H29" s="8">
        <f>IF(A29="","",COUNTIF(Selections!$A:$A,A29))</f>
        <v/>
      </c>
      <c r="I29" s="8">
        <f>IF(A29="","",COUNTIFS(Selections!$A:$A,A29,Selections!$I:$I,"?*"))</f>
        <v/>
      </c>
      <c r="J29" s="8">
        <f>IF(A29="","",COUNTIFS(Selections!$A:$A,A29,Selections!$L:$L,"Verified"))</f>
        <v/>
      </c>
      <c r="K29" s="8">
        <f>IF(A29="","",H29-J29)</f>
        <v/>
      </c>
      <c r="L29" s="7" t="n"/>
    </row>
    <row r="30">
      <c r="A30" s="7" t="n"/>
      <c r="B30" s="7" t="n"/>
      <c r="C30" s="7" t="n"/>
      <c r="D30" s="7" t="n"/>
      <c r="E30" s="7" t="n"/>
      <c r="F30" s="7" t="n"/>
      <c r="G30" s="7" t="n"/>
      <c r="H30" s="8">
        <f>IF(A30="","",COUNTIF(Selections!$A:$A,A30))</f>
        <v/>
      </c>
      <c r="I30" s="8">
        <f>IF(A30="","",COUNTIFS(Selections!$A:$A,A30,Selections!$I:$I,"?*"))</f>
        <v/>
      </c>
      <c r="J30" s="8">
        <f>IF(A30="","",COUNTIFS(Selections!$A:$A,A30,Selections!$L:$L,"Verified"))</f>
        <v/>
      </c>
      <c r="K30" s="8">
        <f>IF(A30="","",H30-J30)</f>
        <v/>
      </c>
      <c r="L30" s="7" t="n"/>
    </row>
    <row r="31">
      <c r="A31" s="7" t="n"/>
      <c r="B31" s="7" t="n"/>
      <c r="C31" s="7" t="n"/>
      <c r="D31" s="7" t="n"/>
      <c r="E31" s="7" t="n"/>
      <c r="F31" s="7" t="n"/>
      <c r="G31" s="7" t="n"/>
      <c r="H31" s="8">
        <f>IF(A31="","",COUNTIF(Selections!$A:$A,A31))</f>
        <v/>
      </c>
      <c r="I31" s="8">
        <f>IF(A31="","",COUNTIFS(Selections!$A:$A,A31,Selections!$I:$I,"?*"))</f>
        <v/>
      </c>
      <c r="J31" s="8">
        <f>IF(A31="","",COUNTIFS(Selections!$A:$A,A31,Selections!$L:$L,"Verified"))</f>
        <v/>
      </c>
      <c r="K31" s="8">
        <f>IF(A31="","",H31-J31)</f>
        <v/>
      </c>
      <c r="L31" s="7" t="n"/>
    </row>
    <row r="32">
      <c r="A32" s="7" t="n"/>
      <c r="B32" s="7" t="n"/>
      <c r="C32" s="7" t="n"/>
      <c r="D32" s="7" t="n"/>
      <c r="E32" s="7" t="n"/>
      <c r="F32" s="7" t="n"/>
      <c r="G32" s="7" t="n"/>
      <c r="H32" s="8">
        <f>IF(A32="","",COUNTIF(Selections!$A:$A,A32))</f>
        <v/>
      </c>
      <c r="I32" s="8">
        <f>IF(A32="","",COUNTIFS(Selections!$A:$A,A32,Selections!$I:$I,"?*"))</f>
        <v/>
      </c>
      <c r="J32" s="8">
        <f>IF(A32="","",COUNTIFS(Selections!$A:$A,A32,Selections!$L:$L,"Verified"))</f>
        <v/>
      </c>
      <c r="K32" s="8">
        <f>IF(A32="","",H32-J32)</f>
        <v/>
      </c>
      <c r="L32" s="7" t="n"/>
    </row>
    <row r="33">
      <c r="A33" s="7" t="n"/>
      <c r="B33" s="7" t="n"/>
      <c r="C33" s="7" t="n"/>
      <c r="D33" s="7" t="n"/>
      <c r="E33" s="7" t="n"/>
      <c r="F33" s="7" t="n"/>
      <c r="G33" s="7" t="n"/>
      <c r="H33" s="8">
        <f>IF(A33="","",COUNTIF(Selections!$A:$A,A33))</f>
        <v/>
      </c>
      <c r="I33" s="8">
        <f>IF(A33="","",COUNTIFS(Selections!$A:$A,A33,Selections!$I:$I,"?*"))</f>
        <v/>
      </c>
      <c r="J33" s="8">
        <f>IF(A33="","",COUNTIFS(Selections!$A:$A,A33,Selections!$L:$L,"Verified"))</f>
        <v/>
      </c>
      <c r="K33" s="8">
        <f>IF(A33="","",H33-J33)</f>
        <v/>
      </c>
      <c r="L33" s="7" t="n"/>
    </row>
    <row r="34">
      <c r="A34" s="7" t="n"/>
      <c r="B34" s="7" t="n"/>
      <c r="C34" s="7" t="n"/>
      <c r="D34" s="7" t="n"/>
      <c r="E34" s="7" t="n"/>
      <c r="F34" s="7" t="n"/>
      <c r="G34" s="7" t="n"/>
      <c r="H34" s="8">
        <f>IF(A34="","",COUNTIF(Selections!$A:$A,A34))</f>
        <v/>
      </c>
      <c r="I34" s="8">
        <f>IF(A34="","",COUNTIFS(Selections!$A:$A,A34,Selections!$I:$I,"?*"))</f>
        <v/>
      </c>
      <c r="J34" s="8">
        <f>IF(A34="","",COUNTIFS(Selections!$A:$A,A34,Selections!$L:$L,"Verified"))</f>
        <v/>
      </c>
      <c r="K34" s="8">
        <f>IF(A34="","",H34-J34)</f>
        <v/>
      </c>
      <c r="L34" s="7" t="n"/>
    </row>
    <row r="35">
      <c r="A35" s="7" t="n"/>
      <c r="B35" s="7" t="n"/>
      <c r="C35" s="7" t="n"/>
      <c r="D35" s="7" t="n"/>
      <c r="E35" s="7" t="n"/>
      <c r="F35" s="7" t="n"/>
      <c r="G35" s="7" t="n"/>
      <c r="H35" s="8">
        <f>IF(A35="","",COUNTIF(Selections!$A:$A,A35))</f>
        <v/>
      </c>
      <c r="I35" s="8">
        <f>IF(A35="","",COUNTIFS(Selections!$A:$A,A35,Selections!$I:$I,"?*"))</f>
        <v/>
      </c>
      <c r="J35" s="8">
        <f>IF(A35="","",COUNTIFS(Selections!$A:$A,A35,Selections!$L:$L,"Verified"))</f>
        <v/>
      </c>
      <c r="K35" s="8">
        <f>IF(A35="","",H35-J35)</f>
        <v/>
      </c>
      <c r="L35" s="7" t="n"/>
    </row>
    <row r="36">
      <c r="A36" s="7" t="n"/>
      <c r="B36" s="7" t="n"/>
      <c r="C36" s="7" t="n"/>
      <c r="D36" s="7" t="n"/>
      <c r="E36" s="7" t="n"/>
      <c r="F36" s="7" t="n"/>
      <c r="G36" s="7" t="n"/>
      <c r="H36" s="8">
        <f>IF(A36="","",COUNTIF(Selections!$A:$A,A36))</f>
        <v/>
      </c>
      <c r="I36" s="8">
        <f>IF(A36="","",COUNTIFS(Selections!$A:$A,A36,Selections!$I:$I,"?*"))</f>
        <v/>
      </c>
      <c r="J36" s="8">
        <f>IF(A36="","",COUNTIFS(Selections!$A:$A,A36,Selections!$L:$L,"Verified"))</f>
        <v/>
      </c>
      <c r="K36" s="8">
        <f>IF(A36="","",H36-J36)</f>
        <v/>
      </c>
      <c r="L36" s="7" t="n"/>
    </row>
    <row r="37">
      <c r="A37" s="7" t="n"/>
      <c r="B37" s="7" t="n"/>
      <c r="C37" s="7" t="n"/>
      <c r="D37" s="7" t="n"/>
      <c r="E37" s="7" t="n"/>
      <c r="F37" s="7" t="n"/>
      <c r="G37" s="7" t="n"/>
      <c r="H37" s="8">
        <f>IF(A37="","",COUNTIF(Selections!$A:$A,A37))</f>
        <v/>
      </c>
      <c r="I37" s="8">
        <f>IF(A37="","",COUNTIFS(Selections!$A:$A,A37,Selections!$I:$I,"?*"))</f>
        <v/>
      </c>
      <c r="J37" s="8">
        <f>IF(A37="","",COUNTIFS(Selections!$A:$A,A37,Selections!$L:$L,"Verified"))</f>
        <v/>
      </c>
      <c r="K37" s="8">
        <f>IF(A37="","",H37-J37)</f>
        <v/>
      </c>
      <c r="L37" s="7" t="n"/>
    </row>
    <row r="38">
      <c r="A38" s="7" t="n"/>
      <c r="B38" s="7" t="n"/>
      <c r="C38" s="7" t="n"/>
      <c r="D38" s="7" t="n"/>
      <c r="E38" s="7" t="n"/>
      <c r="F38" s="7" t="n"/>
      <c r="G38" s="7" t="n"/>
      <c r="H38" s="8">
        <f>IF(A38="","",COUNTIF(Selections!$A:$A,A38))</f>
        <v/>
      </c>
      <c r="I38" s="8">
        <f>IF(A38="","",COUNTIFS(Selections!$A:$A,A38,Selections!$I:$I,"?*"))</f>
        <v/>
      </c>
      <c r="J38" s="8">
        <f>IF(A38="","",COUNTIFS(Selections!$A:$A,A38,Selections!$L:$L,"Verified"))</f>
        <v/>
      </c>
      <c r="K38" s="8">
        <f>IF(A38="","",H38-J38)</f>
        <v/>
      </c>
      <c r="L38" s="7" t="n"/>
    </row>
    <row r="39">
      <c r="A39" s="7" t="n"/>
      <c r="B39" s="7" t="n"/>
      <c r="C39" s="7" t="n"/>
      <c r="D39" s="7" t="n"/>
      <c r="E39" s="7" t="n"/>
      <c r="F39" s="7" t="n"/>
      <c r="G39" s="7" t="n"/>
      <c r="H39" s="8">
        <f>IF(A39="","",COUNTIF(Selections!$A:$A,A39))</f>
        <v/>
      </c>
      <c r="I39" s="8">
        <f>IF(A39="","",COUNTIFS(Selections!$A:$A,A39,Selections!$I:$I,"?*"))</f>
        <v/>
      </c>
      <c r="J39" s="8">
        <f>IF(A39="","",COUNTIFS(Selections!$A:$A,A39,Selections!$L:$L,"Verified"))</f>
        <v/>
      </c>
      <c r="K39" s="8">
        <f>IF(A39="","",H39-J39)</f>
        <v/>
      </c>
      <c r="L39" s="7" t="n"/>
    </row>
    <row r="40">
      <c r="A40" s="7" t="n"/>
      <c r="B40" s="7" t="n"/>
      <c r="C40" s="7" t="n"/>
      <c r="D40" s="7" t="n"/>
      <c r="E40" s="7" t="n"/>
      <c r="F40" s="7" t="n"/>
      <c r="G40" s="7" t="n"/>
      <c r="H40" s="8">
        <f>IF(A40="","",COUNTIF(Selections!$A:$A,A40))</f>
        <v/>
      </c>
      <c r="I40" s="8">
        <f>IF(A40="","",COUNTIFS(Selections!$A:$A,A40,Selections!$I:$I,"?*"))</f>
        <v/>
      </c>
      <c r="J40" s="8">
        <f>IF(A40="","",COUNTIFS(Selections!$A:$A,A40,Selections!$L:$L,"Verified"))</f>
        <v/>
      </c>
      <c r="K40" s="8">
        <f>IF(A40="","",H40-J40)</f>
        <v/>
      </c>
      <c r="L40" s="7" t="n"/>
    </row>
    <row r="41">
      <c r="A41" s="7" t="n"/>
      <c r="B41" s="7" t="n"/>
      <c r="C41" s="7" t="n"/>
      <c r="D41" s="7" t="n"/>
      <c r="E41" s="7" t="n"/>
      <c r="F41" s="7" t="n"/>
      <c r="G41" s="7" t="n"/>
      <c r="H41" s="8">
        <f>IF(A41="","",COUNTIF(Selections!$A:$A,A41))</f>
        <v/>
      </c>
      <c r="I41" s="8">
        <f>IF(A41="","",COUNTIFS(Selections!$A:$A,A41,Selections!$I:$I,"?*"))</f>
        <v/>
      </c>
      <c r="J41" s="8">
        <f>IF(A41="","",COUNTIFS(Selections!$A:$A,A41,Selections!$L:$L,"Verified"))</f>
        <v/>
      </c>
      <c r="K41" s="8">
        <f>IF(A41="","",H41-J41)</f>
        <v/>
      </c>
      <c r="L41" s="7" t="n"/>
    </row>
    <row r="42">
      <c r="A42" s="7" t="n"/>
      <c r="B42" s="7" t="n"/>
      <c r="C42" s="7" t="n"/>
      <c r="D42" s="7" t="n"/>
      <c r="E42" s="7" t="n"/>
      <c r="F42" s="7" t="n"/>
      <c r="G42" s="7" t="n"/>
      <c r="H42" s="8">
        <f>IF(A42="","",COUNTIF(Selections!$A:$A,A42))</f>
        <v/>
      </c>
      <c r="I42" s="8">
        <f>IF(A42="","",COUNTIFS(Selections!$A:$A,A42,Selections!$I:$I,"?*"))</f>
        <v/>
      </c>
      <c r="J42" s="8">
        <f>IF(A42="","",COUNTIFS(Selections!$A:$A,A42,Selections!$L:$L,"Verified"))</f>
        <v/>
      </c>
      <c r="K42" s="8">
        <f>IF(A42="","",H42-J42)</f>
        <v/>
      </c>
      <c r="L42" s="7" t="n"/>
    </row>
    <row r="43">
      <c r="A43" s="7" t="n"/>
      <c r="B43" s="7" t="n"/>
      <c r="C43" s="7" t="n"/>
      <c r="D43" s="7" t="n"/>
      <c r="E43" s="7" t="n"/>
      <c r="F43" s="7" t="n"/>
      <c r="G43" s="7" t="n"/>
      <c r="H43" s="8">
        <f>IF(A43="","",COUNTIF(Selections!$A:$A,A43))</f>
        <v/>
      </c>
      <c r="I43" s="8">
        <f>IF(A43="","",COUNTIFS(Selections!$A:$A,A43,Selections!$I:$I,"?*"))</f>
        <v/>
      </c>
      <c r="J43" s="8">
        <f>IF(A43="","",COUNTIFS(Selections!$A:$A,A43,Selections!$L:$L,"Verified"))</f>
        <v/>
      </c>
      <c r="K43" s="8">
        <f>IF(A43="","",H43-J43)</f>
        <v/>
      </c>
      <c r="L43" s="7" t="n"/>
    </row>
    <row r="44">
      <c r="A44" s="7" t="n"/>
      <c r="B44" s="7" t="n"/>
      <c r="C44" s="7" t="n"/>
      <c r="D44" s="7" t="n"/>
      <c r="E44" s="7" t="n"/>
      <c r="F44" s="7" t="n"/>
      <c r="G44" s="7" t="n"/>
      <c r="H44" s="8">
        <f>IF(A44="","",COUNTIF(Selections!$A:$A,A44))</f>
        <v/>
      </c>
      <c r="I44" s="8">
        <f>IF(A44="","",COUNTIFS(Selections!$A:$A,A44,Selections!$I:$I,"?*"))</f>
        <v/>
      </c>
      <c r="J44" s="8">
        <f>IF(A44="","",COUNTIFS(Selections!$A:$A,A44,Selections!$L:$L,"Verified"))</f>
        <v/>
      </c>
      <c r="K44" s="8">
        <f>IF(A44="","",H44-J44)</f>
        <v/>
      </c>
      <c r="L44" s="7" t="n"/>
    </row>
    <row r="45">
      <c r="A45" s="7" t="n"/>
      <c r="B45" s="7" t="n"/>
      <c r="C45" s="7" t="n"/>
      <c r="D45" s="7" t="n"/>
      <c r="E45" s="7" t="n"/>
      <c r="F45" s="7" t="n"/>
      <c r="G45" s="7" t="n"/>
      <c r="H45" s="8">
        <f>IF(A45="","",COUNTIF(Selections!$A:$A,A45))</f>
        <v/>
      </c>
      <c r="I45" s="8">
        <f>IF(A45="","",COUNTIFS(Selections!$A:$A,A45,Selections!$I:$I,"?*"))</f>
        <v/>
      </c>
      <c r="J45" s="8">
        <f>IF(A45="","",COUNTIFS(Selections!$A:$A,A45,Selections!$L:$L,"Verified"))</f>
        <v/>
      </c>
      <c r="K45" s="8">
        <f>IF(A45="","",H45-J45)</f>
        <v/>
      </c>
      <c r="L45" s="7" t="n"/>
    </row>
    <row r="46">
      <c r="A46" s="7" t="n"/>
      <c r="B46" s="7" t="n"/>
      <c r="C46" s="7" t="n"/>
      <c r="D46" s="7" t="n"/>
      <c r="E46" s="7" t="n"/>
      <c r="F46" s="7" t="n"/>
      <c r="G46" s="7" t="n"/>
      <c r="H46" s="8">
        <f>IF(A46="","",COUNTIF(Selections!$A:$A,A46))</f>
        <v/>
      </c>
      <c r="I46" s="8">
        <f>IF(A46="","",COUNTIFS(Selections!$A:$A,A46,Selections!$I:$I,"?*"))</f>
        <v/>
      </c>
      <c r="J46" s="8">
        <f>IF(A46="","",COUNTIFS(Selections!$A:$A,A46,Selections!$L:$L,"Verified"))</f>
        <v/>
      </c>
      <c r="K46" s="8">
        <f>IF(A46="","",H46-J46)</f>
        <v/>
      </c>
      <c r="L46" s="7" t="n"/>
    </row>
    <row r="47">
      <c r="A47" s="7" t="n"/>
      <c r="B47" s="7" t="n"/>
      <c r="C47" s="7" t="n"/>
      <c r="D47" s="7" t="n"/>
      <c r="E47" s="7" t="n"/>
      <c r="F47" s="7" t="n"/>
      <c r="G47" s="7" t="n"/>
      <c r="H47" s="8">
        <f>IF(A47="","",COUNTIF(Selections!$A:$A,A47))</f>
        <v/>
      </c>
      <c r="I47" s="8">
        <f>IF(A47="","",COUNTIFS(Selections!$A:$A,A47,Selections!$I:$I,"?*"))</f>
        <v/>
      </c>
      <c r="J47" s="8">
        <f>IF(A47="","",COUNTIFS(Selections!$A:$A,A47,Selections!$L:$L,"Verified"))</f>
        <v/>
      </c>
      <c r="K47" s="8">
        <f>IF(A47="","",H47-J47)</f>
        <v/>
      </c>
      <c r="L47" s="7" t="n"/>
    </row>
    <row r="48">
      <c r="A48" s="7" t="n"/>
      <c r="B48" s="7" t="n"/>
      <c r="C48" s="7" t="n"/>
      <c r="D48" s="7" t="n"/>
      <c r="E48" s="7" t="n"/>
      <c r="F48" s="7" t="n"/>
      <c r="G48" s="7" t="n"/>
      <c r="H48" s="8">
        <f>IF(A48="","",COUNTIF(Selections!$A:$A,A48))</f>
        <v/>
      </c>
      <c r="I48" s="8">
        <f>IF(A48="","",COUNTIFS(Selections!$A:$A,A48,Selections!$I:$I,"?*"))</f>
        <v/>
      </c>
      <c r="J48" s="8">
        <f>IF(A48="","",COUNTIFS(Selections!$A:$A,A48,Selections!$L:$L,"Verified"))</f>
        <v/>
      </c>
      <c r="K48" s="8">
        <f>IF(A48="","",H48-J48)</f>
        <v/>
      </c>
      <c r="L48" s="7" t="n"/>
    </row>
    <row r="49">
      <c r="A49" s="7" t="n"/>
      <c r="B49" s="7" t="n"/>
      <c r="C49" s="7" t="n"/>
      <c r="D49" s="7" t="n"/>
      <c r="E49" s="7" t="n"/>
      <c r="F49" s="7" t="n"/>
      <c r="G49" s="7" t="n"/>
      <c r="H49" s="8">
        <f>IF(A49="","",COUNTIF(Selections!$A:$A,A49))</f>
        <v/>
      </c>
      <c r="I49" s="8">
        <f>IF(A49="","",COUNTIFS(Selections!$A:$A,A49,Selections!$I:$I,"?*"))</f>
        <v/>
      </c>
      <c r="J49" s="8">
        <f>IF(A49="","",COUNTIFS(Selections!$A:$A,A49,Selections!$L:$L,"Verified"))</f>
        <v/>
      </c>
      <c r="K49" s="8">
        <f>IF(A49="","",H49-J49)</f>
        <v/>
      </c>
      <c r="L49" s="7" t="n"/>
    </row>
    <row r="50">
      <c r="A50" s="7" t="n"/>
      <c r="B50" s="7" t="n"/>
      <c r="C50" s="7" t="n"/>
      <c r="D50" s="7" t="n"/>
      <c r="E50" s="7" t="n"/>
      <c r="F50" s="7" t="n"/>
      <c r="G50" s="7" t="n"/>
      <c r="H50" s="8">
        <f>IF(A50="","",COUNTIF(Selections!$A:$A,A50))</f>
        <v/>
      </c>
      <c r="I50" s="8">
        <f>IF(A50="","",COUNTIFS(Selections!$A:$A,A50,Selections!$I:$I,"?*"))</f>
        <v/>
      </c>
      <c r="J50" s="8">
        <f>IF(A50="","",COUNTIFS(Selections!$A:$A,A50,Selections!$L:$L,"Verified"))</f>
        <v/>
      </c>
      <c r="K50" s="8">
        <f>IF(A50="","",H50-J50)</f>
        <v/>
      </c>
      <c r="L50" s="7" t="n"/>
    </row>
    <row r="51">
      <c r="A51" s="7" t="n"/>
      <c r="B51" s="7" t="n"/>
      <c r="C51" s="7" t="n"/>
      <c r="D51" s="7" t="n"/>
      <c r="E51" s="7" t="n"/>
      <c r="F51" s="7" t="n"/>
      <c r="G51" s="7" t="n"/>
      <c r="H51" s="8">
        <f>IF(A51="","",COUNTIF(Selections!$A:$A,A51))</f>
        <v/>
      </c>
      <c r="I51" s="8">
        <f>IF(A51="","",COUNTIFS(Selections!$A:$A,A51,Selections!$I:$I,"?*"))</f>
        <v/>
      </c>
      <c r="J51" s="8">
        <f>IF(A51="","",COUNTIFS(Selections!$A:$A,A51,Selections!$L:$L,"Verified"))</f>
        <v/>
      </c>
      <c r="K51" s="8">
        <f>IF(A51="","",H51-J51)</f>
        <v/>
      </c>
      <c r="L51" s="7" t="n"/>
    </row>
  </sheetData>
  <autoFilter ref="A1:L51"/>
  <pageMargins left="0.75" right="0.75" top="1" bottom="1" header="0.511811023622047" footer="0.511811023622047"/>
  <pageSetup orientation="portrait" paperSize="9" horizontalDpi="300" verticalDpi="300"/>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T501"/>
  <sheetViews>
    <sheetView zoomScaleNormal="100" workbookViewId="0">
      <pane ySplit="1" topLeftCell="A2" activePane="bottomLeft" state="frozen"/>
      <selection pane="bottomLeft" activeCell="J13" sqref="J13"/>
    </sheetView>
  </sheetViews>
  <sheetFormatPr baseColWidth="8" defaultColWidth="8.6328125" defaultRowHeight="14.5"/>
  <cols>
    <col width="11" customWidth="1" min="1" max="1"/>
    <col width="18" customWidth="1" min="2" max="2"/>
    <col width="16" customWidth="1" min="3" max="3"/>
    <col width="22" customWidth="1" min="4" max="4"/>
    <col width="18" customWidth="1" min="5" max="7"/>
    <col width="6" customWidth="1" min="8" max="8"/>
    <col width="40" customWidth="1" min="9" max="9"/>
    <col width="30" customWidth="1" min="10" max="11"/>
    <col width="32" customWidth="1" min="11" max="11"/>
    <col width="16" customWidth="1" min="12" max="12"/>
    <col width="12" customWidth="1" min="13" max="13"/>
    <col width="34" customWidth="1" min="14" max="14"/>
    <col width="28" customWidth="1" min="15" max="15"/>
    <col width="17" customWidth="1" min="16" max="16"/>
    <col width="16" customWidth="1" min="17" max="17"/>
    <col width="16" customWidth="1" min="18" max="18"/>
    <col width="16" customWidth="1" min="19" max="19"/>
    <col width="40" customWidth="1" min="20" max="20"/>
    <col width="16" customWidth="1" min="21" max="21"/>
  </cols>
  <sheetData>
    <row r="1" ht="30" customHeight="1">
      <c r="A1" s="3" t="inlineStr">
        <is>
          <t>Project ID</t>
        </is>
      </c>
      <c r="B1" s="3" t="inlineStr">
        <is>
          <t>Section</t>
        </is>
      </c>
      <c r="C1" s="3" t="inlineStr">
        <is>
          <t>Room / Area</t>
        </is>
      </c>
      <c r="D1" s="3" t="inlineStr">
        <is>
          <t>Item</t>
        </is>
      </c>
      <c r="E1" s="3" t="inlineStr">
        <is>
          <t>Manufacturer</t>
        </is>
      </c>
      <c r="F1" s="3" t="inlineStr">
        <is>
          <t>Model #</t>
        </is>
      </c>
      <c r="G1" s="3" t="inlineStr">
        <is>
          <t>Finish / Color</t>
        </is>
      </c>
      <c r="H1" s="3" t="inlineStr">
        <is>
          <t>Qty</t>
        </is>
      </c>
      <c r="I1" s="3" t="inlineStr">
        <is>
          <t>Product URL</t>
        </is>
      </c>
      <c r="J1" s="3" t="inlineStr">
        <is>
          <t>Product Name</t>
        </is>
      </c>
      <c r="K1" s="3" t="inlineStr">
        <is>
          <t>Image URL</t>
        </is>
      </c>
      <c r="L1" s="3" t="inlineStr">
        <is>
          <t>Lookup Status</t>
        </is>
      </c>
      <c r="M1" s="3" t="inlineStr">
        <is>
          <t>Checked On</t>
        </is>
      </c>
      <c r="N1" s="3" t="inlineStr">
        <is>
          <t>Lookup Notes</t>
        </is>
      </c>
      <c r="O1" s="3" t="inlineStr">
        <is>
          <t>Client Notes</t>
        </is>
      </c>
      <c r="P1" s="3" t="inlineStr">
        <is>
          <t>Include in Lookbook</t>
        </is>
      </c>
      <c r="Q1" s="3" t="inlineStr">
        <is>
          <t>Client Status</t>
        </is>
      </c>
      <c r="R1" s="3" t="inlineStr">
        <is>
          <t>Unit Price</t>
        </is>
      </c>
      <c r="S1" s="3" t="inlineStr">
        <is>
          <t>Markup %</t>
        </is>
      </c>
      <c r="T1" s="3" t="inlineStr">
        <is>
          <t>Description Override</t>
        </is>
      </c>
    </row>
    <row r="2">
      <c r="A2" s="7" t="inlineStr">
        <is>
          <t>UH-101</t>
        </is>
      </c>
      <c r="B2" s="7" t="inlineStr">
        <is>
          <t>Exterior</t>
        </is>
      </c>
      <c r="C2" s="7" t="inlineStr">
        <is>
          <t>Front Elevation</t>
        </is>
      </c>
      <c r="D2" s="7" t="inlineStr">
        <is>
          <t>Siding</t>
        </is>
      </c>
      <c r="E2" s="7" t="inlineStr">
        <is>
          <t>James Hardie</t>
        </is>
      </c>
      <c r="F2" s="7" t="inlineStr">
        <is>
          <t>HardiePlank Lap</t>
        </is>
      </c>
      <c r="G2" s="7" t="inlineStr">
        <is>
          <t>Arctic White</t>
        </is>
      </c>
      <c r="H2" s="7" t="n">
        <v>1</v>
      </c>
      <c r="I2" s="8" t="n"/>
      <c r="J2" s="8" t="n"/>
      <c r="K2" s="8" t="n"/>
      <c r="L2" s="8" t="inlineStr">
        <is>
          <t>Not run</t>
        </is>
      </c>
      <c r="M2" s="8" t="n"/>
      <c r="N2" s="8" t="n"/>
      <c r="O2" s="7" t="n"/>
      <c r="P2" s="7" t="inlineStr">
        <is>
          <t>Yes</t>
        </is>
      </c>
      <c r="Q2" t="inlineStr">
        <is>
          <t>Proposed</t>
        </is>
      </c>
      <c r="R2" s="20" t="n"/>
      <c r="S2" s="39" t="n"/>
    </row>
    <row r="3">
      <c r="A3" s="7" t="inlineStr">
        <is>
          <t>UH-101</t>
        </is>
      </c>
      <c r="B3" s="7" t="inlineStr">
        <is>
          <t>Windows &amp; Doors</t>
        </is>
      </c>
      <c r="C3" s="7" t="inlineStr">
        <is>
          <t>Front Entry</t>
        </is>
      </c>
      <c r="D3" s="7" t="inlineStr">
        <is>
          <t>Entry Door</t>
        </is>
      </c>
      <c r="E3" s="7" t="inlineStr">
        <is>
          <t>Therma-Tru</t>
        </is>
      </c>
      <c r="F3" s="7" t="inlineStr">
        <is>
          <t>S4108</t>
        </is>
      </c>
      <c r="G3" s="7" t="inlineStr">
        <is>
          <t>Black</t>
        </is>
      </c>
      <c r="H3" s="7" t="n">
        <v>1</v>
      </c>
      <c r="I3" s="8" t="n"/>
      <c r="J3" s="8" t="n"/>
      <c r="K3" s="8" t="n"/>
      <c r="L3" s="8" t="inlineStr">
        <is>
          <t>Not run</t>
        </is>
      </c>
      <c r="M3" s="8" t="n"/>
      <c r="N3" s="8" t="n"/>
      <c r="O3" s="7" t="n"/>
      <c r="P3" s="7" t="inlineStr">
        <is>
          <t>Yes</t>
        </is>
      </c>
      <c r="Q3" t="inlineStr">
        <is>
          <t>Proposed</t>
        </is>
      </c>
      <c r="R3" s="20" t="n"/>
      <c r="S3" s="39" t="n"/>
    </row>
    <row r="4">
      <c r="A4" s="7" t="inlineStr">
        <is>
          <t>UH-101</t>
        </is>
      </c>
      <c r="B4" s="7" t="inlineStr">
        <is>
          <t>Kitchen</t>
        </is>
      </c>
      <c r="C4" s="7" t="inlineStr">
        <is>
          <t>Kitchen</t>
        </is>
      </c>
      <c r="D4" s="7" t="inlineStr">
        <is>
          <t>Kitchen Faucet</t>
        </is>
      </c>
      <c r="E4" s="7" t="inlineStr">
        <is>
          <t>Moen</t>
        </is>
      </c>
      <c r="F4" s="7" t="inlineStr">
        <is>
          <t>7594ESRS</t>
        </is>
      </c>
      <c r="G4" s="7" t="inlineStr">
        <is>
          <t>Spot Resist Stainless</t>
        </is>
      </c>
      <c r="H4" s="7" t="n">
        <v>1</v>
      </c>
      <c r="I4" s="8" t="n"/>
      <c r="J4" s="8" t="n"/>
      <c r="K4" s="8" t="n"/>
      <c r="L4" s="8" t="inlineStr">
        <is>
          <t>Not run</t>
        </is>
      </c>
      <c r="M4" s="8" t="n"/>
      <c r="N4" s="8" t="n"/>
      <c r="O4" s="7" t="n"/>
      <c r="P4" s="7" t="inlineStr">
        <is>
          <t>Yes</t>
        </is>
      </c>
      <c r="Q4" t="inlineStr">
        <is>
          <t>Proposed</t>
        </is>
      </c>
      <c r="R4" s="20" t="n"/>
      <c r="S4" s="39" t="n"/>
    </row>
    <row r="5">
      <c r="A5" s="7" t="inlineStr">
        <is>
          <t>UH-101</t>
        </is>
      </c>
      <c r="B5" s="7" t="inlineStr">
        <is>
          <t>Bathrooms</t>
        </is>
      </c>
      <c r="C5" s="7" t="inlineStr">
        <is>
          <t>Primary Bath</t>
        </is>
      </c>
      <c r="D5" s="7" t="inlineStr">
        <is>
          <t>Vanity Faucet</t>
        </is>
      </c>
      <c r="E5" s="7" t="inlineStr">
        <is>
          <t>Delta</t>
        </is>
      </c>
      <c r="F5" s="7" t="inlineStr">
        <is>
          <t>559LF-PP</t>
        </is>
      </c>
      <c r="G5" s="7" t="inlineStr">
        <is>
          <t>Chrome</t>
        </is>
      </c>
      <c r="H5" s="7" t="n">
        <v>2</v>
      </c>
      <c r="I5" s="8" t="n"/>
      <c r="J5" s="8" t="n"/>
      <c r="K5" s="8" t="n"/>
      <c r="L5" s="8" t="inlineStr">
        <is>
          <t>Not run</t>
        </is>
      </c>
      <c r="M5" s="8" t="n"/>
      <c r="N5" s="8" t="n"/>
      <c r="O5" s="7" t="n"/>
      <c r="P5" s="7" t="inlineStr">
        <is>
          <t>Yes</t>
        </is>
      </c>
      <c r="Q5" t="inlineStr">
        <is>
          <t>Proposed</t>
        </is>
      </c>
      <c r="R5" s="20" t="n"/>
      <c r="S5" s="39" t="n"/>
    </row>
    <row r="6">
      <c r="A6" s="7" t="inlineStr">
        <is>
          <t>UH-101</t>
        </is>
      </c>
      <c r="B6" s="7" t="inlineStr">
        <is>
          <t>Paint</t>
        </is>
      </c>
      <c r="C6" s="7" t="inlineStr">
        <is>
          <t>Whole House</t>
        </is>
      </c>
      <c r="D6" s="7" t="inlineStr">
        <is>
          <t>Wall Paint</t>
        </is>
      </c>
      <c r="E6" s="7" t="inlineStr">
        <is>
          <t>Sherwin-Williams</t>
        </is>
      </c>
      <c r="F6" s="7" t="inlineStr">
        <is>
          <t>SW 7005</t>
        </is>
      </c>
      <c r="G6" s="7" t="inlineStr">
        <is>
          <t>Pure White</t>
        </is>
      </c>
      <c r="H6" s="7" t="n"/>
      <c r="I6" s="8" t="n"/>
      <c r="J6" s="8" t="n"/>
      <c r="K6" s="8" t="n"/>
      <c r="L6" s="8" t="inlineStr">
        <is>
          <t>Not run</t>
        </is>
      </c>
      <c r="M6" s="8" t="n"/>
      <c r="N6" s="8" t="n"/>
      <c r="O6" s="7" t="n"/>
      <c r="P6" s="7" t="inlineStr">
        <is>
          <t>Yes</t>
        </is>
      </c>
      <c r="Q6" t="inlineStr">
        <is>
          <t>Proposed</t>
        </is>
      </c>
      <c r="R6" s="20" t="n"/>
      <c r="S6" s="39" t="n"/>
    </row>
    <row r="7">
      <c r="A7" s="7" t="inlineStr">
        <is>
          <t>UH-102</t>
        </is>
      </c>
      <c r="B7" s="7" t="inlineStr">
        <is>
          <t>Kitchen</t>
        </is>
      </c>
      <c r="C7" s="7" t="inlineStr">
        <is>
          <t>Kitchen</t>
        </is>
      </c>
      <c r="D7" s="7" t="inlineStr">
        <is>
          <t>Kitchen Sink</t>
        </is>
      </c>
      <c r="E7" s="7" t="inlineStr">
        <is>
          <t>Kohler</t>
        </is>
      </c>
      <c r="F7" s="7" t="inlineStr">
        <is>
          <t>K-5540</t>
        </is>
      </c>
      <c r="G7" s="7" t="inlineStr">
        <is>
          <t>White</t>
        </is>
      </c>
      <c r="H7" s="7" t="n">
        <v>1</v>
      </c>
      <c r="I7" s="8" t="n"/>
      <c r="J7" s="8" t="n"/>
      <c r="K7" s="8" t="n"/>
      <c r="L7" s="8" t="inlineStr">
        <is>
          <t>Not run</t>
        </is>
      </c>
      <c r="M7" s="8" t="n"/>
      <c r="N7" s="8" t="n"/>
      <c r="O7" s="7" t="n"/>
      <c r="P7" s="7" t="inlineStr">
        <is>
          <t>Yes</t>
        </is>
      </c>
      <c r="Q7" t="inlineStr">
        <is>
          <t>Proposed</t>
        </is>
      </c>
      <c r="R7" s="20" t="n"/>
      <c r="S7" s="39" t="n"/>
    </row>
    <row r="8">
      <c r="A8" s="7" t="inlineStr">
        <is>
          <t>UH-102</t>
        </is>
      </c>
      <c r="B8" s="7" t="inlineStr">
        <is>
          <t>Lighting</t>
        </is>
      </c>
      <c r="C8" s="7" t="inlineStr">
        <is>
          <t>Dining Room</t>
        </is>
      </c>
      <c r="D8" s="7" t="inlineStr">
        <is>
          <t>Chandelier</t>
        </is>
      </c>
      <c r="E8" s="7" t="inlineStr">
        <is>
          <t>Kichler</t>
        </is>
      </c>
      <c r="F8" s="7" t="n"/>
      <c r="G8" s="7" t="inlineStr">
        <is>
          <t>Olde Bronze</t>
        </is>
      </c>
      <c r="H8" s="7" t="n">
        <v>1</v>
      </c>
      <c r="I8" s="8" t="n"/>
      <c r="J8" s="8" t="n"/>
      <c r="K8" s="8" t="n"/>
      <c r="L8" s="8" t="inlineStr">
        <is>
          <t>Not run</t>
        </is>
      </c>
      <c r="M8" s="8" t="n"/>
      <c r="N8" s="8" t="n"/>
      <c r="O8" s="7" t="inlineStr">
        <is>
          <t>Model TBD</t>
        </is>
      </c>
      <c r="P8" s="7" t="inlineStr">
        <is>
          <t>Yes</t>
        </is>
      </c>
      <c r="Q8" t="inlineStr">
        <is>
          <t>Proposed</t>
        </is>
      </c>
      <c r="R8" s="20" t="n"/>
      <c r="S8" s="39" t="n"/>
    </row>
    <row r="9">
      <c r="A9" s="7" t="inlineStr">
        <is>
          <t>UH-103</t>
        </is>
      </c>
      <c r="B9" s="7" t="inlineStr">
        <is>
          <t>Windows &amp; Doors</t>
        </is>
      </c>
      <c r="C9" s="7" t="inlineStr">
        <is>
          <t>Living Room</t>
        </is>
      </c>
      <c r="D9" s="7" t="inlineStr">
        <is>
          <t>Test 1</t>
        </is>
      </c>
      <c r="E9" s="7" t="inlineStr">
        <is>
          <t>Dfw company</t>
        </is>
      </c>
      <c r="F9" s="7" t="inlineStr">
        <is>
          <t>xyz</t>
        </is>
      </c>
      <c r="G9" s="7" t="inlineStr">
        <is>
          <t>Black</t>
        </is>
      </c>
      <c r="H9" s="7" t="inlineStr">
        <is>
          <t>1</t>
        </is>
      </c>
      <c r="I9" s="8" t="n"/>
      <c r="J9" s="8" t="inlineStr">
        <is>
          <t>Main Door</t>
        </is>
      </c>
      <c r="K9" s="8" t="n"/>
      <c r="L9" s="8" t="inlineStr">
        <is>
          <t>Not found</t>
        </is>
      </c>
      <c r="M9" s="8" t="inlineStr">
        <is>
          <t>2026-10-05</t>
        </is>
      </c>
      <c r="N9" s="8" t="inlineStr">
        <is>
          <t>No page confirmed the model number. Try: https://www.google.com/search?q=Dfw+company+xyz</t>
        </is>
      </c>
      <c r="O9" s="7" t="inlineStr">
        <is>
          <t>Nothing</t>
        </is>
      </c>
      <c r="P9" s="7" t="inlineStr">
        <is>
          <t>Yes</t>
        </is>
      </c>
      <c r="Q9" t="inlineStr">
        <is>
          <t>Proposed</t>
        </is>
      </c>
      <c r="R9" s="20" t="n"/>
      <c r="S9" s="39" t="n"/>
    </row>
    <row r="10">
      <c r="A10" s="7" t="inlineStr">
        <is>
          <t>UH-101</t>
        </is>
      </c>
      <c r="B10" s="7" t="inlineStr">
        <is>
          <t>1st Floor</t>
        </is>
      </c>
      <c r="C10" s="7" t="inlineStr">
        <is>
          <t>Family Room</t>
        </is>
      </c>
      <c r="D10" s="7" t="inlineStr">
        <is>
          <t>Flooring</t>
        </is>
      </c>
      <c r="E10" s="7" t="n"/>
      <c r="F10" s="7" t="n"/>
      <c r="G10" s="7" t="n"/>
      <c r="H10" s="7" t="n"/>
      <c r="I10" s="8" t="n"/>
      <c r="J10" s="8" t="n"/>
      <c r="K10" s="8" t="n"/>
      <c r="L10" s="8" t="inlineStr">
        <is>
          <t>Not run</t>
        </is>
      </c>
      <c r="M10" s="8" t="n"/>
      <c r="N10" s="8" t="n"/>
      <c r="O10" s="7" t="n"/>
      <c r="P10" s="7" t="inlineStr">
        <is>
          <t>Yes</t>
        </is>
      </c>
      <c r="Q10" t="inlineStr">
        <is>
          <t>Proposed</t>
        </is>
      </c>
      <c r="R10" s="20" t="n"/>
      <c r="S10" s="39" t="n"/>
    </row>
    <row r="11">
      <c r="A11" s="7" t="inlineStr">
        <is>
          <t>UH-101</t>
        </is>
      </c>
      <c r="B11" s="7" t="inlineStr">
        <is>
          <t>1st Floor</t>
        </is>
      </c>
      <c r="C11" s="7" t="inlineStr">
        <is>
          <t>Family Room</t>
        </is>
      </c>
      <c r="D11" s="7" t="inlineStr">
        <is>
          <t>Fire place</t>
        </is>
      </c>
      <c r="E11" s="7" t="n"/>
      <c r="F11" s="7" t="n"/>
      <c r="G11" s="7" t="n"/>
      <c r="H11" s="7" t="n"/>
      <c r="I11" s="8" t="n"/>
      <c r="J11" s="8" t="n"/>
      <c r="K11" s="8" t="n"/>
      <c r="L11" s="8" t="inlineStr">
        <is>
          <t>Not run</t>
        </is>
      </c>
      <c r="M11" s="8" t="n"/>
      <c r="N11" s="8" t="n"/>
      <c r="O11" s="7" t="n"/>
      <c r="P11" s="7" t="inlineStr">
        <is>
          <t>Yes</t>
        </is>
      </c>
      <c r="Q11" t="inlineStr">
        <is>
          <t>Proposed</t>
        </is>
      </c>
      <c r="R11" s="20" t="n"/>
      <c r="S11" s="39" t="n"/>
    </row>
    <row r="12">
      <c r="A12" s="7" t="inlineStr">
        <is>
          <t>UH-101</t>
        </is>
      </c>
      <c r="B12" s="7" t="inlineStr">
        <is>
          <t>1st Floor</t>
        </is>
      </c>
      <c r="C12" s="7" t="inlineStr">
        <is>
          <t>Family Room</t>
        </is>
      </c>
      <c r="D12" s="7" t="inlineStr">
        <is>
          <t>Fire place - surround</t>
        </is>
      </c>
      <c r="E12" s="7" t="n"/>
      <c r="F12" s="7" t="n"/>
      <c r="G12" s="7" t="n"/>
      <c r="H12" s="7" t="n"/>
      <c r="I12" s="8" t="n"/>
      <c r="J12" s="8" t="n"/>
      <c r="K12" s="8" t="n"/>
      <c r="L12" s="8" t="inlineStr">
        <is>
          <t>Not run</t>
        </is>
      </c>
      <c r="M12" s="8" t="n"/>
      <c r="N12" s="8" t="n"/>
      <c r="O12" s="7" t="n"/>
      <c r="P12" s="7" t="inlineStr">
        <is>
          <t>Yes</t>
        </is>
      </c>
      <c r="Q12" t="inlineStr">
        <is>
          <t>Proposed</t>
        </is>
      </c>
      <c r="R12" s="20" t="n"/>
      <c r="S12" s="39" t="n"/>
    </row>
    <row r="13">
      <c r="A13" s="7" t="inlineStr">
        <is>
          <t>UH-101</t>
        </is>
      </c>
      <c r="B13" s="7" t="inlineStr">
        <is>
          <t>1st Floor</t>
        </is>
      </c>
      <c r="C13" s="7" t="inlineStr">
        <is>
          <t>Family Room</t>
        </is>
      </c>
      <c r="D13" s="7" t="inlineStr">
        <is>
          <t>Doors</t>
        </is>
      </c>
      <c r="E13" s="7" t="n"/>
      <c r="F13" s="7" t="n"/>
      <c r="G13" s="7" t="n"/>
      <c r="H13" s="7" t="n"/>
      <c r="I13" s="8" t="n"/>
      <c r="J13" s="8" t="n"/>
      <c r="K13" s="8" t="n"/>
      <c r="L13" s="8" t="inlineStr">
        <is>
          <t>Not run</t>
        </is>
      </c>
      <c r="M13" s="8" t="n"/>
      <c r="N13" s="8" t="n"/>
      <c r="O13" s="7" t="n"/>
      <c r="P13" s="7" t="inlineStr">
        <is>
          <t>Yes</t>
        </is>
      </c>
      <c r="Q13" t="inlineStr">
        <is>
          <t>Proposed</t>
        </is>
      </c>
      <c r="R13" s="20" t="n"/>
      <c r="S13" s="39" t="n"/>
    </row>
    <row r="14">
      <c r="A14" s="7" t="inlineStr">
        <is>
          <t>UH-101</t>
        </is>
      </c>
      <c r="B14" s="7" t="inlineStr">
        <is>
          <t>1st Floor</t>
        </is>
      </c>
      <c r="C14" s="7" t="inlineStr">
        <is>
          <t>Family Room</t>
        </is>
      </c>
      <c r="D14" s="7" t="inlineStr">
        <is>
          <t>Light Fixture - Fan</t>
        </is>
      </c>
      <c r="E14" s="7" t="n"/>
      <c r="F14" s="7" t="n"/>
      <c r="G14" s="7" t="n"/>
      <c r="H14" s="7" t="n"/>
      <c r="I14" s="8" t="n"/>
      <c r="J14" s="8" t="n"/>
      <c r="K14" s="8" t="n"/>
      <c r="L14" s="8" t="inlineStr">
        <is>
          <t>Not run</t>
        </is>
      </c>
      <c r="M14" s="8" t="n"/>
      <c r="N14" s="8" t="n"/>
      <c r="O14" s="7" t="n"/>
      <c r="P14" s="7" t="inlineStr">
        <is>
          <t>Yes</t>
        </is>
      </c>
      <c r="Q14" t="inlineStr">
        <is>
          <t>Proposed</t>
        </is>
      </c>
      <c r="R14" s="20" t="n"/>
      <c r="S14" s="39" t="n"/>
    </row>
    <row r="15">
      <c r="A15" s="7" t="inlineStr">
        <is>
          <t>UH-101</t>
        </is>
      </c>
      <c r="B15" s="7" t="inlineStr">
        <is>
          <t>1st Floor</t>
        </is>
      </c>
      <c r="C15" s="7" t="inlineStr">
        <is>
          <t>Family Room</t>
        </is>
      </c>
      <c r="D15" s="7" t="inlineStr">
        <is>
          <t>Wine Cellar/ Dry Bar</t>
        </is>
      </c>
      <c r="E15" s="7" t="n"/>
      <c r="F15" s="7" t="n"/>
      <c r="G15" s="7" t="n"/>
      <c r="H15" s="7" t="n"/>
      <c r="I15" s="8" t="n"/>
      <c r="J15" s="8" t="n"/>
      <c r="K15" s="8" t="n"/>
      <c r="L15" s="8" t="inlineStr">
        <is>
          <t>Not run</t>
        </is>
      </c>
      <c r="M15" s="8" t="n"/>
      <c r="N15" s="8" t="n"/>
      <c r="O15" s="7" t="n"/>
      <c r="P15" s="7" t="inlineStr">
        <is>
          <t>Yes</t>
        </is>
      </c>
      <c r="Q15" t="inlineStr">
        <is>
          <t>Proposed</t>
        </is>
      </c>
      <c r="R15" s="20" t="n"/>
      <c r="S15" s="39" t="n"/>
    </row>
    <row r="16">
      <c r="A16" s="7" t="inlineStr">
        <is>
          <t>UH-101</t>
        </is>
      </c>
      <c r="B16" s="7" t="inlineStr">
        <is>
          <t>1st Floor</t>
        </is>
      </c>
      <c r="C16" s="7" t="inlineStr">
        <is>
          <t>Kitchen</t>
        </is>
      </c>
      <c r="D16" s="7" t="inlineStr">
        <is>
          <t>Flooring</t>
        </is>
      </c>
      <c r="E16" s="7" t="n"/>
      <c r="F16" s="7" t="n"/>
      <c r="G16" s="7" t="n"/>
      <c r="H16" s="7" t="n"/>
      <c r="I16" s="8" t="n"/>
      <c r="J16" s="8" t="n"/>
      <c r="K16" s="8" t="n"/>
      <c r="L16" s="8" t="inlineStr">
        <is>
          <t>Not run</t>
        </is>
      </c>
      <c r="M16" s="8" t="n"/>
      <c r="N16" s="8" t="n"/>
      <c r="O16" s="7" t="n"/>
      <c r="P16" s="7" t="inlineStr">
        <is>
          <t>Yes</t>
        </is>
      </c>
      <c r="Q16" t="inlineStr">
        <is>
          <t>Proposed</t>
        </is>
      </c>
      <c r="R16" s="20" t="n"/>
      <c r="S16" s="39" t="n"/>
    </row>
    <row r="17">
      <c r="A17" s="7" t="inlineStr">
        <is>
          <t>UH-101</t>
        </is>
      </c>
      <c r="B17" s="7" t="inlineStr">
        <is>
          <t>1st Floor</t>
        </is>
      </c>
      <c r="C17" s="7" t="inlineStr">
        <is>
          <t>Kitchen</t>
        </is>
      </c>
      <c r="D17" s="7" t="inlineStr">
        <is>
          <t>Counter top</t>
        </is>
      </c>
      <c r="E17" s="7" t="n"/>
      <c r="F17" s="7" t="n"/>
      <c r="G17" s="7" t="n"/>
      <c r="H17" s="7" t="n"/>
      <c r="I17" s="8" t="n"/>
      <c r="J17" s="8" t="n"/>
      <c r="K17" s="8" t="n"/>
      <c r="L17" s="8" t="inlineStr">
        <is>
          <t>Not run</t>
        </is>
      </c>
      <c r="M17" s="8" t="n"/>
      <c r="N17" s="8" t="n"/>
      <c r="O17" s="7" t="n"/>
      <c r="P17" s="7" t="inlineStr">
        <is>
          <t>Yes</t>
        </is>
      </c>
      <c r="Q17" t="inlineStr">
        <is>
          <t>Proposed</t>
        </is>
      </c>
      <c r="R17" s="20" t="n"/>
      <c r="S17" s="39" t="n"/>
    </row>
    <row r="18">
      <c r="A18" s="7" t="inlineStr">
        <is>
          <t>UH-101</t>
        </is>
      </c>
      <c r="B18" s="7" t="inlineStr">
        <is>
          <t>1st Floor</t>
        </is>
      </c>
      <c r="C18" s="7" t="inlineStr">
        <is>
          <t>Kitchen</t>
        </is>
      </c>
      <c r="D18" s="7" t="inlineStr">
        <is>
          <t>Backsplash</t>
        </is>
      </c>
      <c r="E18" s="7" t="n"/>
      <c r="F18" s="7" t="n"/>
      <c r="G18" s="7" t="n"/>
      <c r="H18" s="7" t="n"/>
      <c r="I18" s="8" t="n"/>
      <c r="J18" s="8" t="n"/>
      <c r="K18" s="8" t="n"/>
      <c r="L18" s="8" t="inlineStr">
        <is>
          <t>Not run</t>
        </is>
      </c>
      <c r="M18" s="8" t="n"/>
      <c r="N18" s="8" t="n"/>
      <c r="O18" s="7" t="n"/>
      <c r="P18" s="7" t="inlineStr">
        <is>
          <t>Yes</t>
        </is>
      </c>
      <c r="Q18" t="inlineStr">
        <is>
          <t>Proposed</t>
        </is>
      </c>
      <c r="R18" s="20" t="n"/>
      <c r="S18" s="39" t="n"/>
    </row>
    <row r="19">
      <c r="A19" s="7" t="inlineStr">
        <is>
          <t>UH-101</t>
        </is>
      </c>
      <c r="B19" s="7" t="inlineStr">
        <is>
          <t>1st Floor</t>
        </is>
      </c>
      <c r="C19" s="7" t="inlineStr">
        <is>
          <t>Kitchen</t>
        </is>
      </c>
      <c r="D19" s="7" t="inlineStr">
        <is>
          <t>Coffee bar</t>
        </is>
      </c>
      <c r="E19" s="7" t="n"/>
      <c r="F19" s="7" t="n"/>
      <c r="G19" s="7" t="n"/>
      <c r="H19" s="7" t="n"/>
      <c r="I19" s="8" t="n"/>
      <c r="J19" s="8" t="n"/>
      <c r="K19" s="8" t="n"/>
      <c r="L19" s="8" t="inlineStr">
        <is>
          <t>Not run</t>
        </is>
      </c>
      <c r="M19" s="8" t="n"/>
      <c r="N19" s="8" t="n"/>
      <c r="O19" s="7" t="n"/>
      <c r="P19" s="7" t="inlineStr">
        <is>
          <t>Yes</t>
        </is>
      </c>
      <c r="Q19" t="inlineStr">
        <is>
          <t>Proposed</t>
        </is>
      </c>
      <c r="R19" s="20" t="n"/>
      <c r="S19" s="39" t="n"/>
    </row>
    <row r="20">
      <c r="A20" s="7" t="inlineStr">
        <is>
          <t>UH-101</t>
        </is>
      </c>
      <c r="B20" s="7" t="inlineStr">
        <is>
          <t>1st Floor</t>
        </is>
      </c>
      <c r="C20" s="7" t="inlineStr">
        <is>
          <t>Kitchen</t>
        </is>
      </c>
      <c r="D20" s="7" t="inlineStr">
        <is>
          <t>Backsplash - Coffee bar</t>
        </is>
      </c>
      <c r="E20" s="7" t="n"/>
      <c r="F20" s="7" t="n"/>
      <c r="G20" s="7" t="n"/>
      <c r="H20" s="7" t="n"/>
      <c r="I20" s="8" t="n"/>
      <c r="J20" s="8" t="n"/>
      <c r="K20" s="8" t="n"/>
      <c r="L20" s="8" t="inlineStr">
        <is>
          <t>Not run</t>
        </is>
      </c>
      <c r="M20" s="8" t="n"/>
      <c r="N20" s="8" t="n"/>
      <c r="O20" s="7" t="n"/>
      <c r="P20" s="7" t="inlineStr">
        <is>
          <t>Yes</t>
        </is>
      </c>
      <c r="Q20" t="inlineStr">
        <is>
          <t>Proposed</t>
        </is>
      </c>
      <c r="R20" s="20" t="n"/>
      <c r="S20" s="39" t="n"/>
    </row>
    <row r="21">
      <c r="A21" s="7" t="inlineStr">
        <is>
          <t>UH-101</t>
        </is>
      </c>
      <c r="B21" s="7" t="inlineStr">
        <is>
          <t>1st Floor</t>
        </is>
      </c>
      <c r="C21" s="7" t="inlineStr">
        <is>
          <t>Kitchen</t>
        </is>
      </c>
      <c r="D21" s="7" t="inlineStr">
        <is>
          <t>Venthood</t>
        </is>
      </c>
      <c r="E21" s="7" t="n"/>
      <c r="F21" s="7" t="n"/>
      <c r="G21" s="7" t="n"/>
      <c r="H21" s="7" t="n"/>
      <c r="I21" s="8" t="n"/>
      <c r="J21" s="8" t="n"/>
      <c r="K21" s="8" t="n"/>
      <c r="L21" s="8" t="inlineStr">
        <is>
          <t>Not run</t>
        </is>
      </c>
      <c r="M21" s="8" t="n"/>
      <c r="N21" s="8" t="n"/>
      <c r="O21" s="7" t="n"/>
      <c r="P21" s="7" t="inlineStr">
        <is>
          <t>Yes</t>
        </is>
      </c>
      <c r="Q21" t="inlineStr">
        <is>
          <t>Proposed</t>
        </is>
      </c>
      <c r="R21" s="20" t="n"/>
      <c r="S21" s="39" t="n"/>
    </row>
    <row r="22">
      <c r="A22" s="7" t="inlineStr">
        <is>
          <t>UH-101</t>
        </is>
      </c>
      <c r="B22" s="7" t="inlineStr">
        <is>
          <t>1st Floor</t>
        </is>
      </c>
      <c r="C22" s="7" t="inlineStr">
        <is>
          <t>Kitchen</t>
        </is>
      </c>
      <c r="D22" s="7" t="inlineStr">
        <is>
          <t>Cooktop/range</t>
        </is>
      </c>
      <c r="E22" s="7" t="n"/>
      <c r="F22" s="7" t="n"/>
      <c r="G22" s="7" t="n"/>
      <c r="H22" s="7" t="n"/>
      <c r="I22" s="8" t="n"/>
      <c r="J22" s="8" t="n"/>
      <c r="K22" s="8" t="n"/>
      <c r="L22" s="8" t="inlineStr">
        <is>
          <t>Not run</t>
        </is>
      </c>
      <c r="M22" s="8" t="n"/>
      <c r="N22" s="8" t="n"/>
      <c r="O22" s="7" t="n"/>
      <c r="P22" s="7" t="inlineStr">
        <is>
          <t>Yes</t>
        </is>
      </c>
      <c r="Q22" t="inlineStr">
        <is>
          <t>Proposed</t>
        </is>
      </c>
      <c r="R22" s="20" t="n"/>
      <c r="S22" s="39" t="n"/>
    </row>
    <row r="23">
      <c r="A23" s="7" t="inlineStr">
        <is>
          <t>UH-101</t>
        </is>
      </c>
      <c r="B23" s="7" t="inlineStr">
        <is>
          <t>1st Floor</t>
        </is>
      </c>
      <c r="C23" s="7" t="inlineStr">
        <is>
          <t>Kitchen</t>
        </is>
      </c>
      <c r="D23" s="7" t="inlineStr">
        <is>
          <t>Microwave</t>
        </is>
      </c>
      <c r="E23" s="7" t="n"/>
      <c r="F23" s="7" t="n"/>
      <c r="G23" s="7" t="n"/>
      <c r="H23" s="7" t="n"/>
      <c r="I23" s="8" t="n"/>
      <c r="J23" s="8" t="n"/>
      <c r="K23" s="8" t="n"/>
      <c r="L23" s="8" t="inlineStr">
        <is>
          <t>Not run</t>
        </is>
      </c>
      <c r="M23" s="8" t="n"/>
      <c r="N23" s="8" t="n"/>
      <c r="O23" s="7" t="n"/>
      <c r="P23" s="7" t="inlineStr">
        <is>
          <t>Yes</t>
        </is>
      </c>
      <c r="Q23" t="inlineStr">
        <is>
          <t>Proposed</t>
        </is>
      </c>
      <c r="R23" s="20" t="n"/>
      <c r="S23" s="39" t="n"/>
    </row>
    <row r="24">
      <c r="A24" s="7" t="inlineStr">
        <is>
          <t>UH-101</t>
        </is>
      </c>
      <c r="B24" s="7" t="inlineStr">
        <is>
          <t>1st Floor</t>
        </is>
      </c>
      <c r="C24" s="7" t="inlineStr">
        <is>
          <t>Kitchen</t>
        </is>
      </c>
      <c r="D24" s="7" t="inlineStr">
        <is>
          <t>Dishwasher</t>
        </is>
      </c>
      <c r="E24" s="7" t="n"/>
      <c r="F24" s="7" t="n"/>
      <c r="G24" s="7" t="n"/>
      <c r="H24" s="7" t="n"/>
      <c r="I24" s="8" t="n"/>
      <c r="J24" s="8" t="n"/>
      <c r="K24" s="8" t="n"/>
      <c r="L24" s="8" t="inlineStr">
        <is>
          <t>Not run</t>
        </is>
      </c>
      <c r="M24" s="8" t="n"/>
      <c r="N24" s="8" t="n"/>
      <c r="O24" s="7" t="n"/>
      <c r="P24" s="7" t="inlineStr">
        <is>
          <t>Yes</t>
        </is>
      </c>
      <c r="Q24" t="inlineStr">
        <is>
          <t>Proposed</t>
        </is>
      </c>
      <c r="R24" s="20" t="n"/>
      <c r="S24" s="39" t="n"/>
    </row>
    <row r="25">
      <c r="A25" s="7" t="inlineStr">
        <is>
          <t>UH-101</t>
        </is>
      </c>
      <c r="B25" s="7" t="inlineStr">
        <is>
          <t>1st Floor</t>
        </is>
      </c>
      <c r="C25" s="7" t="inlineStr">
        <is>
          <t>Kitchen</t>
        </is>
      </c>
      <c r="D25" s="7" t="inlineStr">
        <is>
          <t>Wall oven</t>
        </is>
      </c>
      <c r="E25" s="7" t="n"/>
      <c r="F25" s="7" t="n"/>
      <c r="G25" s="7" t="n"/>
      <c r="H25" s="7" t="n"/>
      <c r="I25" s="8" t="n"/>
      <c r="J25" s="8" t="n"/>
      <c r="K25" s="8" t="n"/>
      <c r="L25" s="8" t="inlineStr">
        <is>
          <t>Not run</t>
        </is>
      </c>
      <c r="M25" s="8" t="n"/>
      <c r="N25" s="8" t="n"/>
      <c r="O25" s="7" t="n"/>
      <c r="P25" s="7" t="inlineStr">
        <is>
          <t>Yes</t>
        </is>
      </c>
      <c r="Q25" t="inlineStr">
        <is>
          <t>Proposed</t>
        </is>
      </c>
      <c r="R25" s="20" t="n"/>
      <c r="S25" s="39" t="n"/>
    </row>
    <row r="26">
      <c r="A26" s="7" t="inlineStr">
        <is>
          <t>UH-101</t>
        </is>
      </c>
      <c r="B26" s="7" t="inlineStr">
        <is>
          <t>1st Floor</t>
        </is>
      </c>
      <c r="C26" s="7" t="inlineStr">
        <is>
          <t>Kitchen</t>
        </is>
      </c>
      <c r="D26" s="7" t="inlineStr">
        <is>
          <t>Trash Pullout</t>
        </is>
      </c>
      <c r="E26" s="7" t="n"/>
      <c r="F26" s="7" t="n"/>
      <c r="G26" s="7" t="n"/>
      <c r="H26" s="7" t="n"/>
      <c r="I26" s="8" t="n"/>
      <c r="J26" s="8" t="n"/>
      <c r="K26" s="8" t="n"/>
      <c r="L26" s="8" t="inlineStr">
        <is>
          <t>Not run</t>
        </is>
      </c>
      <c r="M26" s="8" t="n"/>
      <c r="N26" s="8" t="n"/>
      <c r="O26" s="7" t="n"/>
      <c r="P26" s="7" t="inlineStr">
        <is>
          <t>Yes</t>
        </is>
      </c>
      <c r="Q26" t="inlineStr">
        <is>
          <t>Proposed</t>
        </is>
      </c>
      <c r="R26" s="20" t="n"/>
      <c r="S26" s="39" t="n"/>
    </row>
    <row r="27">
      <c r="A27" s="7" t="inlineStr">
        <is>
          <t>UH-101</t>
        </is>
      </c>
      <c r="B27" s="7" t="inlineStr">
        <is>
          <t>1st Floor</t>
        </is>
      </c>
      <c r="C27" s="7" t="inlineStr">
        <is>
          <t>Kitchen</t>
        </is>
      </c>
      <c r="D27" s="7" t="inlineStr">
        <is>
          <t>Kitchen Sink</t>
        </is>
      </c>
      <c r="E27" s="7" t="n"/>
      <c r="F27" s="7" t="n"/>
      <c r="G27" s="7" t="n"/>
      <c r="H27" s="7" t="n"/>
      <c r="I27" s="8" t="n"/>
      <c r="J27" s="8" t="n"/>
      <c r="K27" s="8" t="n"/>
      <c r="L27" s="8" t="inlineStr">
        <is>
          <t>Not run</t>
        </is>
      </c>
      <c r="M27" s="8" t="n"/>
      <c r="N27" s="8" t="n"/>
      <c r="O27" s="7" t="n"/>
      <c r="P27" s="7" t="inlineStr">
        <is>
          <t>Yes</t>
        </is>
      </c>
      <c r="Q27" t="inlineStr">
        <is>
          <t>Proposed</t>
        </is>
      </c>
      <c r="R27" s="20" t="n"/>
      <c r="S27" s="39" t="n"/>
    </row>
    <row r="28">
      <c r="A28" s="7" t="inlineStr">
        <is>
          <t>UH-101</t>
        </is>
      </c>
      <c r="B28" s="7" t="inlineStr">
        <is>
          <t>1st Floor</t>
        </is>
      </c>
      <c r="C28" s="7" t="inlineStr">
        <is>
          <t>Kitchen</t>
        </is>
      </c>
      <c r="D28" s="7" t="inlineStr">
        <is>
          <t>Kitchen Faucet</t>
        </is>
      </c>
      <c r="E28" s="7" t="n"/>
      <c r="F28" s="7" t="n"/>
      <c r="G28" s="7" t="n"/>
      <c r="H28" s="7" t="n"/>
      <c r="I28" s="8" t="n"/>
      <c r="J28" s="8" t="n"/>
      <c r="K28" s="8" t="n"/>
      <c r="L28" s="8" t="inlineStr">
        <is>
          <t>Not run</t>
        </is>
      </c>
      <c r="M28" s="8" t="n"/>
      <c r="N28" s="8" t="n"/>
      <c r="O28" s="7" t="n"/>
      <c r="P28" s="7" t="inlineStr">
        <is>
          <t>Yes</t>
        </is>
      </c>
      <c r="Q28" t="inlineStr">
        <is>
          <t>Proposed</t>
        </is>
      </c>
      <c r="R28" s="20" t="n"/>
      <c r="S28" s="39" t="n"/>
    </row>
    <row r="29">
      <c r="A29" s="7" t="inlineStr">
        <is>
          <t>UH-101</t>
        </is>
      </c>
      <c r="B29" s="7" t="inlineStr">
        <is>
          <t>1st Floor</t>
        </is>
      </c>
      <c r="C29" s="7" t="inlineStr">
        <is>
          <t>Kitchen</t>
        </is>
      </c>
      <c r="D29" s="7" t="inlineStr">
        <is>
          <t>Kitchen Pendants</t>
        </is>
      </c>
      <c r="E29" s="7" t="n"/>
      <c r="F29" s="7" t="n"/>
      <c r="G29" s="7" t="n"/>
      <c r="H29" s="7" t="n"/>
      <c r="I29" s="8" t="n"/>
      <c r="J29" s="8" t="n"/>
      <c r="K29" s="8" t="n"/>
      <c r="L29" s="8" t="inlineStr">
        <is>
          <t>Not run</t>
        </is>
      </c>
      <c r="M29" s="8" t="n"/>
      <c r="N29" s="8" t="n"/>
      <c r="O29" s="7" t="n"/>
      <c r="P29" s="7" t="inlineStr">
        <is>
          <t>Yes</t>
        </is>
      </c>
      <c r="Q29" t="inlineStr">
        <is>
          <t>Proposed</t>
        </is>
      </c>
      <c r="R29" s="20" t="n"/>
      <c r="S29" s="39" t="n"/>
    </row>
    <row r="30">
      <c r="A30" s="7" t="inlineStr">
        <is>
          <t>UH-101</t>
        </is>
      </c>
      <c r="B30" s="7" t="inlineStr">
        <is>
          <t>1st Floor</t>
        </is>
      </c>
      <c r="C30" s="7" t="inlineStr">
        <is>
          <t>Breakfast Room</t>
        </is>
      </c>
      <c r="D30" s="7" t="inlineStr">
        <is>
          <t>Flooring</t>
        </is>
      </c>
      <c r="E30" s="7" t="n"/>
      <c r="F30" s="7" t="n"/>
      <c r="G30" s="7" t="n"/>
      <c r="H30" s="7" t="n"/>
      <c r="I30" s="8" t="n"/>
      <c r="J30" s="8" t="n"/>
      <c r="K30" s="8" t="n"/>
      <c r="L30" s="8" t="inlineStr">
        <is>
          <t>Not run</t>
        </is>
      </c>
      <c r="M30" s="8" t="n"/>
      <c r="N30" s="8" t="n"/>
      <c r="O30" s="7" t="n"/>
      <c r="P30" s="7" t="inlineStr">
        <is>
          <t>Yes</t>
        </is>
      </c>
      <c r="Q30" t="inlineStr">
        <is>
          <t>Proposed</t>
        </is>
      </c>
      <c r="R30" s="20" t="n"/>
      <c r="S30" s="39" t="n"/>
    </row>
    <row r="31">
      <c r="A31" s="7" t="inlineStr">
        <is>
          <t>UH-101</t>
        </is>
      </c>
      <c r="B31" s="7" t="inlineStr">
        <is>
          <t>1st Floor</t>
        </is>
      </c>
      <c r="C31" s="7" t="inlineStr">
        <is>
          <t>Breakfast Room</t>
        </is>
      </c>
      <c r="D31" s="7" t="inlineStr">
        <is>
          <t>Breakfast Chandelier</t>
        </is>
      </c>
      <c r="E31" s="7" t="n"/>
      <c r="F31" s="7" t="n"/>
      <c r="G31" s="7" t="n"/>
      <c r="H31" s="7" t="n"/>
      <c r="I31" s="8" t="n"/>
      <c r="J31" s="8" t="n"/>
      <c r="K31" s="8" t="n"/>
      <c r="L31" s="8" t="inlineStr">
        <is>
          <t>Not run</t>
        </is>
      </c>
      <c r="M31" s="8" t="n"/>
      <c r="N31" s="8" t="n"/>
      <c r="O31" s="7" t="n"/>
      <c r="P31" s="7" t="inlineStr">
        <is>
          <t>Yes</t>
        </is>
      </c>
      <c r="Q31" t="inlineStr">
        <is>
          <t>Proposed</t>
        </is>
      </c>
      <c r="R31" s="20" t="n"/>
      <c r="S31" s="39" t="n"/>
    </row>
    <row r="32">
      <c r="A32" s="7" t="inlineStr">
        <is>
          <t>UH-101</t>
        </is>
      </c>
      <c r="B32" s="7" t="inlineStr">
        <is>
          <t>1st Floor</t>
        </is>
      </c>
      <c r="C32" s="7" t="inlineStr">
        <is>
          <t>Breakfast Room</t>
        </is>
      </c>
      <c r="D32" s="7" t="inlineStr">
        <is>
          <t>Exterior Door</t>
        </is>
      </c>
      <c r="E32" s="7" t="n"/>
      <c r="F32" s="7" t="n"/>
      <c r="G32" s="7" t="n"/>
      <c r="H32" s="7" t="n"/>
      <c r="I32" s="8" t="n"/>
      <c r="J32" s="8" t="n"/>
      <c r="K32" s="8" t="n"/>
      <c r="L32" s="8" t="inlineStr">
        <is>
          <t>Not run</t>
        </is>
      </c>
      <c r="M32" s="8" t="n"/>
      <c r="N32" s="8" t="n"/>
      <c r="O32" s="7" t="n"/>
      <c r="P32" s="7" t="inlineStr">
        <is>
          <t>Yes</t>
        </is>
      </c>
      <c r="Q32" t="inlineStr">
        <is>
          <t>Proposed</t>
        </is>
      </c>
      <c r="R32" s="20" t="n"/>
      <c r="S32" s="39" t="n"/>
    </row>
    <row r="33">
      <c r="A33" s="7" t="inlineStr">
        <is>
          <t>UH-101</t>
        </is>
      </c>
      <c r="B33" s="7" t="inlineStr">
        <is>
          <t>1st Floor</t>
        </is>
      </c>
      <c r="C33" s="7" t="inlineStr">
        <is>
          <t>Breakfast Room</t>
        </is>
      </c>
      <c r="D33" s="7" t="inlineStr">
        <is>
          <t>Door Stopper</t>
        </is>
      </c>
      <c r="E33" s="7" t="n"/>
      <c r="F33" s="7" t="n"/>
      <c r="G33" s="7" t="n"/>
      <c r="H33" s="7" t="n"/>
      <c r="I33" s="8" t="n"/>
      <c r="J33" s="8" t="n"/>
      <c r="K33" s="8" t="n"/>
      <c r="L33" s="8" t="inlineStr">
        <is>
          <t>Not run</t>
        </is>
      </c>
      <c r="M33" s="8" t="n"/>
      <c r="N33" s="8" t="n"/>
      <c r="O33" s="7" t="n"/>
      <c r="P33" s="7" t="inlineStr">
        <is>
          <t>Yes</t>
        </is>
      </c>
      <c r="Q33" t="inlineStr">
        <is>
          <t>Proposed</t>
        </is>
      </c>
      <c r="R33" s="20" t="n"/>
      <c r="S33" s="39" t="n"/>
    </row>
    <row r="34">
      <c r="A34" s="7" t="inlineStr">
        <is>
          <t>UH-101</t>
        </is>
      </c>
      <c r="B34" s="7" t="inlineStr">
        <is>
          <t>1st Floor</t>
        </is>
      </c>
      <c r="C34" s="7" t="inlineStr">
        <is>
          <t>2nd Living / Formal Dining</t>
        </is>
      </c>
      <c r="D34" s="7" t="inlineStr">
        <is>
          <t>Flooring</t>
        </is>
      </c>
      <c r="E34" s="7" t="n"/>
      <c r="F34" s="7" t="n"/>
      <c r="G34" s="7" t="n"/>
      <c r="H34" s="7" t="n"/>
      <c r="I34" s="8" t="n"/>
      <c r="J34" s="8" t="n"/>
      <c r="K34" s="8" t="n"/>
      <c r="L34" s="8" t="inlineStr">
        <is>
          <t>Not run</t>
        </is>
      </c>
      <c r="M34" s="8" t="n"/>
      <c r="N34" s="8" t="n"/>
      <c r="O34" s="7" t="n"/>
      <c r="P34" s="7" t="inlineStr">
        <is>
          <t>Yes</t>
        </is>
      </c>
      <c r="Q34" t="inlineStr">
        <is>
          <t>Proposed</t>
        </is>
      </c>
      <c r="R34" s="20" t="n"/>
      <c r="S34" s="39" t="n"/>
    </row>
    <row r="35">
      <c r="A35" s="7" t="inlineStr">
        <is>
          <t>UH-101</t>
        </is>
      </c>
      <c r="B35" s="7" t="inlineStr">
        <is>
          <t>1st Floor</t>
        </is>
      </c>
      <c r="C35" s="7" t="inlineStr">
        <is>
          <t>2nd Living / Formal Dining</t>
        </is>
      </c>
      <c r="D35" s="7" t="inlineStr">
        <is>
          <t>Light Fixture - Fan</t>
        </is>
      </c>
      <c r="E35" s="7" t="n"/>
      <c r="F35" s="7" t="n"/>
      <c r="G35" s="7" t="n"/>
      <c r="H35" s="7" t="n"/>
      <c r="I35" s="8" t="n"/>
      <c r="J35" s="8" t="n"/>
      <c r="K35" s="8" t="n"/>
      <c r="L35" s="8" t="inlineStr">
        <is>
          <t>Not run</t>
        </is>
      </c>
      <c r="M35" s="8" t="n"/>
      <c r="N35" s="8" t="n"/>
      <c r="O35" s="7" t="n"/>
      <c r="P35" s="7" t="inlineStr">
        <is>
          <t>Yes</t>
        </is>
      </c>
      <c r="Q35" t="inlineStr">
        <is>
          <t>Proposed</t>
        </is>
      </c>
      <c r="R35" s="20" t="n"/>
      <c r="S35" s="39" t="n"/>
    </row>
    <row r="36">
      <c r="A36" s="7" t="inlineStr">
        <is>
          <t>UH-101</t>
        </is>
      </c>
      <c r="B36" s="7" t="inlineStr">
        <is>
          <t>1st Floor</t>
        </is>
      </c>
      <c r="C36" s="7" t="inlineStr">
        <is>
          <t>2nd Living / Formal Dining</t>
        </is>
      </c>
      <c r="D36" s="7" t="inlineStr">
        <is>
          <t>Exterior Door</t>
        </is>
      </c>
      <c r="E36" s="7" t="n"/>
      <c r="F36" s="7" t="n"/>
      <c r="G36" s="7" t="n"/>
      <c r="H36" s="7" t="n"/>
      <c r="I36" s="8" t="n"/>
      <c r="J36" s="8" t="n"/>
      <c r="K36" s="8" t="n"/>
      <c r="L36" s="8" t="inlineStr">
        <is>
          <t>Not run</t>
        </is>
      </c>
      <c r="M36" s="8" t="n"/>
      <c r="N36" s="8" t="n"/>
      <c r="O36" s="7" t="n"/>
      <c r="P36" s="7" t="inlineStr">
        <is>
          <t>Yes</t>
        </is>
      </c>
      <c r="Q36" t="inlineStr">
        <is>
          <t>Proposed</t>
        </is>
      </c>
      <c r="R36" s="20" t="n"/>
      <c r="S36" s="39" t="n"/>
    </row>
    <row r="37">
      <c r="A37" s="7" t="inlineStr">
        <is>
          <t>UH-101</t>
        </is>
      </c>
      <c r="B37" s="7" t="inlineStr">
        <is>
          <t>1st Floor</t>
        </is>
      </c>
      <c r="C37" s="7" t="inlineStr">
        <is>
          <t>2nd Living / Formal Dining</t>
        </is>
      </c>
      <c r="D37" s="7" t="inlineStr">
        <is>
          <t>Door Stopper</t>
        </is>
      </c>
      <c r="E37" s="7" t="n"/>
      <c r="F37" s="7" t="n"/>
      <c r="G37" s="7" t="n"/>
      <c r="H37" s="7" t="n"/>
      <c r="I37" s="8" t="n"/>
      <c r="J37" s="8" t="n"/>
      <c r="K37" s="8" t="n"/>
      <c r="L37" s="8" t="inlineStr">
        <is>
          <t>Not run</t>
        </is>
      </c>
      <c r="M37" s="8" t="n"/>
      <c r="N37" s="8" t="n"/>
      <c r="O37" s="7" t="n"/>
      <c r="P37" s="7" t="inlineStr">
        <is>
          <t>Yes</t>
        </is>
      </c>
      <c r="Q37" t="inlineStr">
        <is>
          <t>Proposed</t>
        </is>
      </c>
      <c r="R37" s="20" t="n"/>
      <c r="S37" s="39" t="n"/>
    </row>
    <row r="38">
      <c r="A38" s="7" t="inlineStr">
        <is>
          <t>UH-101</t>
        </is>
      </c>
      <c r="B38" s="7" t="inlineStr">
        <is>
          <t>1st Floor</t>
        </is>
      </c>
      <c r="C38" s="7" t="inlineStr">
        <is>
          <t>Study/ Office Room</t>
        </is>
      </c>
      <c r="D38" s="7" t="inlineStr">
        <is>
          <t>Flooring</t>
        </is>
      </c>
      <c r="E38" s="7" t="n"/>
      <c r="F38" s="7" t="n"/>
      <c r="G38" s="7" t="n"/>
      <c r="H38" s="7" t="n"/>
      <c r="I38" s="8" t="n"/>
      <c r="J38" s="8" t="n"/>
      <c r="K38" s="8" t="n"/>
      <c r="L38" s="8" t="inlineStr">
        <is>
          <t>Not run</t>
        </is>
      </c>
      <c r="M38" s="8" t="n"/>
      <c r="N38" s="8" t="n"/>
      <c r="O38" s="7" t="n"/>
      <c r="P38" s="7" t="inlineStr">
        <is>
          <t>Yes</t>
        </is>
      </c>
      <c r="Q38" t="inlineStr">
        <is>
          <t>Proposed</t>
        </is>
      </c>
      <c r="R38" s="20" t="n"/>
      <c r="S38" s="39" t="n"/>
    </row>
    <row r="39">
      <c r="A39" s="7" t="inlineStr">
        <is>
          <t>UH-101</t>
        </is>
      </c>
      <c r="B39" s="7" t="inlineStr">
        <is>
          <t>1st Floor</t>
        </is>
      </c>
      <c r="C39" s="7" t="inlineStr">
        <is>
          <t>Study/ Office Room</t>
        </is>
      </c>
      <c r="D39" s="7" t="inlineStr">
        <is>
          <t>Light Fixture - Fan</t>
        </is>
      </c>
      <c r="E39" s="7" t="n"/>
      <c r="F39" s="7" t="n"/>
      <c r="G39" s="7" t="n"/>
      <c r="H39" s="7" t="n"/>
      <c r="I39" s="8" t="n"/>
      <c r="J39" s="8" t="n"/>
      <c r="K39" s="8" t="n"/>
      <c r="L39" s="8" t="inlineStr">
        <is>
          <t>Not run</t>
        </is>
      </c>
      <c r="M39" s="8" t="n"/>
      <c r="N39" s="8" t="n"/>
      <c r="O39" s="7" t="n"/>
      <c r="P39" s="7" t="inlineStr">
        <is>
          <t>Yes</t>
        </is>
      </c>
      <c r="Q39" t="inlineStr">
        <is>
          <t>Proposed</t>
        </is>
      </c>
      <c r="R39" s="20" t="n"/>
      <c r="S39" s="39" t="n"/>
    </row>
    <row r="40">
      <c r="A40" s="7" t="inlineStr">
        <is>
          <t>UH-101</t>
        </is>
      </c>
      <c r="B40" s="7" t="inlineStr">
        <is>
          <t>1st Floor</t>
        </is>
      </c>
      <c r="C40" s="7" t="inlineStr">
        <is>
          <t>Study/ Office Room</t>
        </is>
      </c>
      <c r="D40" s="7" t="inlineStr">
        <is>
          <t>Doors - Interior</t>
        </is>
      </c>
      <c r="E40" s="7" t="n"/>
      <c r="F40" s="7" t="n"/>
      <c r="G40" s="7" t="n"/>
      <c r="H40" s="7" t="n"/>
      <c r="I40" s="8" t="n"/>
      <c r="J40" s="8" t="n"/>
      <c r="K40" s="8" t="n"/>
      <c r="L40" s="8" t="inlineStr">
        <is>
          <t>Not run</t>
        </is>
      </c>
      <c r="M40" s="8" t="n"/>
      <c r="N40" s="8" t="n"/>
      <c r="O40" s="7" t="n"/>
      <c r="P40" s="7" t="inlineStr">
        <is>
          <t>Yes</t>
        </is>
      </c>
      <c r="Q40" t="inlineStr">
        <is>
          <t>Proposed</t>
        </is>
      </c>
      <c r="R40" s="20" t="n"/>
      <c r="S40" s="39" t="n"/>
    </row>
    <row r="41">
      <c r="A41" s="7" t="inlineStr">
        <is>
          <t>UH-101</t>
        </is>
      </c>
      <c r="B41" s="7" t="inlineStr">
        <is>
          <t>1st Floor</t>
        </is>
      </c>
      <c r="C41" s="7" t="inlineStr">
        <is>
          <t>Study/ Office Room</t>
        </is>
      </c>
      <c r="D41" s="7" t="inlineStr">
        <is>
          <t>Door Stopper</t>
        </is>
      </c>
      <c r="E41" s="7" t="n"/>
      <c r="F41" s="7" t="n"/>
      <c r="G41" s="7" t="n"/>
      <c r="H41" s="7" t="n"/>
      <c r="I41" s="8" t="n"/>
      <c r="J41" s="8" t="n"/>
      <c r="K41" s="8" t="n"/>
      <c r="L41" s="8" t="inlineStr">
        <is>
          <t>Not run</t>
        </is>
      </c>
      <c r="M41" s="8" t="n"/>
      <c r="N41" s="8" t="n"/>
      <c r="O41" s="7" t="n"/>
      <c r="P41" s="7" t="inlineStr">
        <is>
          <t>Yes</t>
        </is>
      </c>
      <c r="Q41" t="inlineStr">
        <is>
          <t>Proposed</t>
        </is>
      </c>
      <c r="R41" s="20" t="n"/>
      <c r="S41" s="39" t="n"/>
    </row>
    <row r="42">
      <c r="A42" s="7" t="inlineStr">
        <is>
          <t>UH-101</t>
        </is>
      </c>
      <c r="B42" s="7" t="inlineStr">
        <is>
          <t>1st Floor</t>
        </is>
      </c>
      <c r="C42" s="7" t="inlineStr">
        <is>
          <t>Study/ Office Room</t>
        </is>
      </c>
      <c r="D42" s="7" t="inlineStr">
        <is>
          <t>Bookcase</t>
        </is>
      </c>
      <c r="E42" s="7" t="n"/>
      <c r="F42" s="7" t="n"/>
      <c r="G42" s="7" t="n"/>
      <c r="H42" s="7" t="n"/>
      <c r="I42" s="8" t="n"/>
      <c r="J42" s="8" t="n"/>
      <c r="K42" s="8" t="n"/>
      <c r="L42" s="8" t="inlineStr">
        <is>
          <t>Not run</t>
        </is>
      </c>
      <c r="M42" s="8" t="n"/>
      <c r="N42" s="8" t="n"/>
      <c r="O42" s="7" t="n"/>
      <c r="P42" s="7" t="inlineStr">
        <is>
          <t>Yes</t>
        </is>
      </c>
      <c r="Q42" t="inlineStr">
        <is>
          <t>Proposed</t>
        </is>
      </c>
      <c r="R42" s="20" t="n"/>
      <c r="S42" s="39" t="n"/>
    </row>
    <row r="43">
      <c r="A43" s="7" t="inlineStr">
        <is>
          <t>UH-101</t>
        </is>
      </c>
      <c r="B43" s="7" t="inlineStr">
        <is>
          <t>1st Floor</t>
        </is>
      </c>
      <c r="C43" s="7" t="inlineStr">
        <is>
          <t>Prayer/Flex Room</t>
        </is>
      </c>
      <c r="D43" s="7" t="inlineStr">
        <is>
          <t>Flooring</t>
        </is>
      </c>
      <c r="E43" s="7" t="n"/>
      <c r="F43" s="7" t="n"/>
      <c r="G43" s="7" t="n"/>
      <c r="H43" s="7" t="n"/>
      <c r="I43" s="8" t="n"/>
      <c r="J43" s="8" t="n"/>
      <c r="K43" s="8" t="n"/>
      <c r="L43" s="8" t="inlineStr">
        <is>
          <t>Not run</t>
        </is>
      </c>
      <c r="M43" s="8" t="n"/>
      <c r="N43" s="8" t="n"/>
      <c r="O43" s="7" t="n"/>
      <c r="P43" s="7" t="inlineStr">
        <is>
          <t>Yes</t>
        </is>
      </c>
      <c r="Q43" t="inlineStr">
        <is>
          <t>Proposed</t>
        </is>
      </c>
      <c r="R43" s="20" t="n"/>
      <c r="S43" s="39" t="n"/>
    </row>
    <row r="44">
      <c r="A44" s="7" t="inlineStr">
        <is>
          <t>UH-101</t>
        </is>
      </c>
      <c r="B44" s="7" t="inlineStr">
        <is>
          <t>1st Floor</t>
        </is>
      </c>
      <c r="C44" s="7" t="inlineStr">
        <is>
          <t>Prayer/Flex Room</t>
        </is>
      </c>
      <c r="D44" s="7" t="inlineStr">
        <is>
          <t>Light Fixture - Prayer</t>
        </is>
      </c>
      <c r="E44" s="7" t="n"/>
      <c r="F44" s="7" t="n"/>
      <c r="G44" s="7" t="n"/>
      <c r="H44" s="7" t="n"/>
      <c r="I44" s="8" t="n"/>
      <c r="J44" s="8" t="n"/>
      <c r="K44" s="8" t="n"/>
      <c r="L44" s="8" t="inlineStr">
        <is>
          <t>Not run</t>
        </is>
      </c>
      <c r="M44" s="8" t="n"/>
      <c r="N44" s="8" t="n"/>
      <c r="O44" s="7" t="n"/>
      <c r="P44" s="7" t="inlineStr">
        <is>
          <t>Yes</t>
        </is>
      </c>
      <c r="Q44" t="inlineStr">
        <is>
          <t>Proposed</t>
        </is>
      </c>
      <c r="R44" s="20" t="n"/>
      <c r="S44" s="39" t="n"/>
    </row>
    <row r="45">
      <c r="A45" s="7" t="inlineStr">
        <is>
          <t>UH-101</t>
        </is>
      </c>
      <c r="B45" s="7" t="inlineStr">
        <is>
          <t>1st Floor</t>
        </is>
      </c>
      <c r="C45" s="7" t="inlineStr">
        <is>
          <t>Prayer/Flex Room</t>
        </is>
      </c>
      <c r="D45" s="7" t="inlineStr">
        <is>
          <t>Interior Door</t>
        </is>
      </c>
      <c r="E45" s="7" t="n"/>
      <c r="F45" s="7" t="n"/>
      <c r="G45" s="7" t="n"/>
      <c r="H45" s="7" t="n"/>
      <c r="I45" s="8" t="n"/>
      <c r="J45" s="8" t="n"/>
      <c r="K45" s="8" t="n"/>
      <c r="L45" s="8" t="inlineStr">
        <is>
          <t>Not run</t>
        </is>
      </c>
      <c r="M45" s="8" t="n"/>
      <c r="N45" s="8" t="n"/>
      <c r="O45" s="7" t="n"/>
      <c r="P45" s="7" t="inlineStr">
        <is>
          <t>Yes</t>
        </is>
      </c>
      <c r="Q45" t="inlineStr">
        <is>
          <t>Proposed</t>
        </is>
      </c>
      <c r="R45" s="20" t="n"/>
      <c r="S45" s="39" t="n"/>
    </row>
    <row r="46">
      <c r="A46" s="7" t="inlineStr">
        <is>
          <t>UH-101</t>
        </is>
      </c>
      <c r="B46" s="7" t="inlineStr">
        <is>
          <t>1st Floor</t>
        </is>
      </c>
      <c r="C46" s="7" t="inlineStr">
        <is>
          <t>Prayer/Flex Room</t>
        </is>
      </c>
      <c r="D46" s="7" t="inlineStr">
        <is>
          <t>Door Stopper</t>
        </is>
      </c>
      <c r="E46" s="7" t="n"/>
      <c r="F46" s="7" t="n"/>
      <c r="G46" s="7" t="n"/>
      <c r="H46" s="7" t="n"/>
      <c r="I46" s="8" t="n"/>
      <c r="J46" s="8" t="n"/>
      <c r="K46" s="8" t="n"/>
      <c r="L46" s="8" t="inlineStr">
        <is>
          <t>Not run</t>
        </is>
      </c>
      <c r="M46" s="8" t="n"/>
      <c r="N46" s="8" t="n"/>
      <c r="O46" s="7" t="n"/>
      <c r="P46" s="7" t="inlineStr">
        <is>
          <t>Yes</t>
        </is>
      </c>
      <c r="Q46" t="inlineStr">
        <is>
          <t>Proposed</t>
        </is>
      </c>
      <c r="R46" s="20" t="n"/>
      <c r="S46" s="39" t="n"/>
    </row>
    <row r="47">
      <c r="A47" s="7" t="inlineStr">
        <is>
          <t>UH-101</t>
        </is>
      </c>
      <c r="B47" s="7" t="inlineStr">
        <is>
          <t>1st Floor</t>
        </is>
      </c>
      <c r="C47" s="7" t="inlineStr">
        <is>
          <t>Foyer</t>
        </is>
      </c>
      <c r="D47" s="7" t="inlineStr">
        <is>
          <t>Flooring</t>
        </is>
      </c>
      <c r="E47" s="7" t="n"/>
      <c r="F47" s="7" t="n"/>
      <c r="G47" s="7" t="n"/>
      <c r="H47" s="7" t="n"/>
      <c r="I47" s="8" t="n"/>
      <c r="J47" s="8" t="n"/>
      <c r="K47" s="8" t="n"/>
      <c r="L47" s="8" t="inlineStr">
        <is>
          <t>Not run</t>
        </is>
      </c>
      <c r="M47" s="8" t="n"/>
      <c r="N47" s="8" t="n"/>
      <c r="O47" s="7" t="n"/>
      <c r="P47" s="7" t="inlineStr">
        <is>
          <t>Yes</t>
        </is>
      </c>
      <c r="Q47" t="inlineStr">
        <is>
          <t>Proposed</t>
        </is>
      </c>
      <c r="R47" s="20" t="n"/>
      <c r="S47" s="39" t="n"/>
    </row>
    <row r="48">
      <c r="A48" s="7" t="inlineStr">
        <is>
          <t>UH-101</t>
        </is>
      </c>
      <c r="B48" s="7" t="inlineStr">
        <is>
          <t>1st Floor</t>
        </is>
      </c>
      <c r="C48" s="7" t="inlineStr">
        <is>
          <t>Foyer</t>
        </is>
      </c>
      <c r="D48" s="7" t="inlineStr">
        <is>
          <t>Staircase</t>
        </is>
      </c>
      <c r="E48" s="7" t="n"/>
      <c r="F48" s="7" t="n"/>
      <c r="G48" s="7" t="n"/>
      <c r="H48" s="7" t="n"/>
      <c r="I48" s="8" t="n"/>
      <c r="J48" s="8" t="n"/>
      <c r="K48" s="8" t="n"/>
      <c r="L48" s="8" t="inlineStr">
        <is>
          <t>Not run</t>
        </is>
      </c>
      <c r="M48" s="8" t="n"/>
      <c r="N48" s="8" t="n"/>
      <c r="O48" s="7" t="n"/>
      <c r="P48" s="7" t="inlineStr">
        <is>
          <t>Yes</t>
        </is>
      </c>
      <c r="Q48" t="inlineStr">
        <is>
          <t>Proposed</t>
        </is>
      </c>
      <c r="R48" s="20" t="n"/>
      <c r="S48" s="39" t="n"/>
    </row>
    <row r="49">
      <c r="A49" s="7" t="inlineStr">
        <is>
          <t>UH-101</t>
        </is>
      </c>
      <c r="B49" s="7" t="inlineStr">
        <is>
          <t>1st Floor</t>
        </is>
      </c>
      <c r="C49" s="7" t="inlineStr">
        <is>
          <t>Foyer</t>
        </is>
      </c>
      <c r="D49" s="7" t="inlineStr">
        <is>
          <t>Light Fixture - Foyer</t>
        </is>
      </c>
      <c r="E49" s="7" t="n"/>
      <c r="F49" s="7" t="n"/>
      <c r="G49" s="7" t="n"/>
      <c r="H49" s="7" t="n"/>
      <c r="I49" s="8" t="n"/>
      <c r="J49" s="8" t="n"/>
      <c r="K49" s="8" t="n"/>
      <c r="L49" s="8" t="inlineStr">
        <is>
          <t>Not run</t>
        </is>
      </c>
      <c r="M49" s="8" t="n"/>
      <c r="N49" s="8" t="n"/>
      <c r="O49" s="7" t="n"/>
      <c r="P49" s="7" t="inlineStr">
        <is>
          <t>Yes</t>
        </is>
      </c>
      <c r="Q49" t="inlineStr">
        <is>
          <t>Proposed</t>
        </is>
      </c>
      <c r="R49" s="20" t="n"/>
      <c r="S49" s="39" t="n"/>
    </row>
    <row r="50">
      <c r="A50" s="7" t="inlineStr">
        <is>
          <t>UH-101</t>
        </is>
      </c>
      <c r="B50" s="7" t="inlineStr">
        <is>
          <t>1st Floor</t>
        </is>
      </c>
      <c r="C50" s="7" t="inlineStr">
        <is>
          <t>Foyer</t>
        </is>
      </c>
      <c r="D50" s="7" t="inlineStr">
        <is>
          <t>Front Door - Exterior</t>
        </is>
      </c>
      <c r="E50" s="7" t="n"/>
      <c r="F50" s="7" t="n"/>
      <c r="G50" s="7" t="n"/>
      <c r="H50" s="7" t="n"/>
      <c r="I50" s="8" t="n"/>
      <c r="J50" s="8" t="n"/>
      <c r="K50" s="8" t="n"/>
      <c r="L50" s="8" t="inlineStr">
        <is>
          <t>Not run</t>
        </is>
      </c>
      <c r="M50" s="8" t="n"/>
      <c r="N50" s="8" t="n"/>
      <c r="O50" s="7" t="n"/>
      <c r="P50" s="7" t="inlineStr">
        <is>
          <t>Yes</t>
        </is>
      </c>
      <c r="Q50" t="inlineStr">
        <is>
          <t>Proposed</t>
        </is>
      </c>
      <c r="R50" s="20" t="n"/>
      <c r="S50" s="39" t="n"/>
    </row>
    <row r="51">
      <c r="A51" s="7" t="inlineStr">
        <is>
          <t>UH-101</t>
        </is>
      </c>
      <c r="B51" s="7" t="inlineStr">
        <is>
          <t>1st Floor</t>
        </is>
      </c>
      <c r="C51" s="7" t="inlineStr">
        <is>
          <t>Powder Room</t>
        </is>
      </c>
      <c r="D51" s="7" t="inlineStr">
        <is>
          <t>Flooring</t>
        </is>
      </c>
      <c r="E51" s="7" t="n"/>
      <c r="F51" s="7" t="n"/>
      <c r="G51" s="7" t="n"/>
      <c r="H51" s="7" t="n"/>
      <c r="I51" s="8" t="n"/>
      <c r="J51" s="8" t="n"/>
      <c r="K51" s="8" t="n"/>
      <c r="L51" s="8" t="inlineStr">
        <is>
          <t>Not run</t>
        </is>
      </c>
      <c r="M51" s="8" t="n"/>
      <c r="N51" s="8" t="n"/>
      <c r="O51" s="7" t="n"/>
      <c r="P51" s="7" t="inlineStr">
        <is>
          <t>Yes</t>
        </is>
      </c>
      <c r="Q51" t="inlineStr">
        <is>
          <t>Proposed</t>
        </is>
      </c>
      <c r="R51" s="20" t="n"/>
      <c r="S51" s="39" t="n"/>
    </row>
    <row r="52">
      <c r="A52" s="7" t="inlineStr">
        <is>
          <t>UH-101</t>
        </is>
      </c>
      <c r="B52" s="7" t="inlineStr">
        <is>
          <t>1st Floor</t>
        </is>
      </c>
      <c r="C52" s="7" t="inlineStr">
        <is>
          <t>Powder Room</t>
        </is>
      </c>
      <c r="D52" s="7" t="inlineStr">
        <is>
          <t>Counter top</t>
        </is>
      </c>
      <c r="E52" s="7" t="n"/>
      <c r="F52" s="7" t="n"/>
      <c r="G52" s="7" t="n"/>
      <c r="H52" s="7" t="n"/>
      <c r="I52" s="8" t="n"/>
      <c r="J52" s="8" t="n"/>
      <c r="K52" s="8" t="n"/>
      <c r="L52" s="8" t="inlineStr">
        <is>
          <t>Not run</t>
        </is>
      </c>
      <c r="M52" s="8" t="n"/>
      <c r="N52" s="8" t="n"/>
      <c r="O52" s="7" t="n"/>
      <c r="P52" s="7" t="inlineStr">
        <is>
          <t>Yes</t>
        </is>
      </c>
      <c r="Q52" t="inlineStr">
        <is>
          <t>Proposed</t>
        </is>
      </c>
      <c r="R52" s="20" t="n"/>
      <c r="S52" s="39" t="n"/>
    </row>
    <row r="53">
      <c r="A53" s="7" t="inlineStr">
        <is>
          <t>UH-101</t>
        </is>
      </c>
      <c r="B53" s="7" t="inlineStr">
        <is>
          <t>1st Floor</t>
        </is>
      </c>
      <c r="C53" s="7" t="inlineStr">
        <is>
          <t>Powder Room</t>
        </is>
      </c>
      <c r="D53" s="7" t="inlineStr">
        <is>
          <t>Bathroom Sink</t>
        </is>
      </c>
      <c r="E53" s="7" t="n"/>
      <c r="F53" s="7" t="n"/>
      <c r="G53" s="7" t="n"/>
      <c r="H53" s="7" t="n"/>
      <c r="I53" s="8" t="n"/>
      <c r="J53" s="8" t="n"/>
      <c r="K53" s="8" t="n"/>
      <c r="L53" s="8" t="inlineStr">
        <is>
          <t>Not run</t>
        </is>
      </c>
      <c r="M53" s="8" t="n"/>
      <c r="N53" s="8" t="n"/>
      <c r="O53" s="7" t="n"/>
      <c r="P53" s="7" t="inlineStr">
        <is>
          <t>Yes</t>
        </is>
      </c>
      <c r="Q53" t="inlineStr">
        <is>
          <t>Proposed</t>
        </is>
      </c>
      <c r="R53" s="20" t="n"/>
      <c r="S53" s="39" t="n"/>
    </row>
    <row r="54">
      <c r="A54" s="7" t="inlineStr">
        <is>
          <t>UH-101</t>
        </is>
      </c>
      <c r="B54" s="7" t="inlineStr">
        <is>
          <t>1st Floor</t>
        </is>
      </c>
      <c r="C54" s="7" t="inlineStr">
        <is>
          <t>Powder Room</t>
        </is>
      </c>
      <c r="D54" s="7" t="inlineStr">
        <is>
          <t>Sink Faucet</t>
        </is>
      </c>
      <c r="E54" s="7" t="n"/>
      <c r="F54" s="7" t="n"/>
      <c r="G54" s="7" t="n"/>
      <c r="H54" s="7" t="n"/>
      <c r="I54" s="8" t="n"/>
      <c r="J54" s="8" t="n"/>
      <c r="K54" s="8" t="n"/>
      <c r="L54" s="8" t="inlineStr">
        <is>
          <t>Not run</t>
        </is>
      </c>
      <c r="M54" s="8" t="n"/>
      <c r="N54" s="8" t="n"/>
      <c r="O54" s="7" t="n"/>
      <c r="P54" s="7" t="inlineStr">
        <is>
          <t>Yes</t>
        </is>
      </c>
      <c r="Q54" t="inlineStr">
        <is>
          <t>Proposed</t>
        </is>
      </c>
      <c r="R54" s="20" t="n"/>
      <c r="S54" s="39" t="n"/>
    </row>
    <row r="55">
      <c r="A55" s="7" t="inlineStr">
        <is>
          <t>UH-101</t>
        </is>
      </c>
      <c r="B55" s="7" t="inlineStr">
        <is>
          <t>1st Floor</t>
        </is>
      </c>
      <c r="C55" s="7" t="inlineStr">
        <is>
          <t>Powder Room</t>
        </is>
      </c>
      <c r="D55" s="7" t="inlineStr">
        <is>
          <t>Towel Ring</t>
        </is>
      </c>
      <c r="E55" s="7" t="n"/>
      <c r="F55" s="7" t="n"/>
      <c r="G55" s="7" t="n"/>
      <c r="H55" s="7" t="n"/>
      <c r="I55" s="8" t="n"/>
      <c r="J55" s="8" t="n"/>
      <c r="K55" s="8" t="n"/>
      <c r="L55" s="8" t="inlineStr">
        <is>
          <t>Not run</t>
        </is>
      </c>
      <c r="M55" s="8" t="n"/>
      <c r="N55" s="8" t="n"/>
      <c r="O55" s="7" t="n"/>
      <c r="P55" s="7" t="inlineStr">
        <is>
          <t>Yes</t>
        </is>
      </c>
      <c r="Q55" t="inlineStr">
        <is>
          <t>Proposed</t>
        </is>
      </c>
      <c r="R55" s="20" t="n"/>
      <c r="S55" s="39" t="n"/>
    </row>
    <row r="56">
      <c r="A56" s="7" t="inlineStr">
        <is>
          <t>UH-101</t>
        </is>
      </c>
      <c r="B56" s="7" t="inlineStr">
        <is>
          <t>1st Floor</t>
        </is>
      </c>
      <c r="C56" s="7" t="inlineStr">
        <is>
          <t>Powder Room</t>
        </is>
      </c>
      <c r="D56" s="7" t="inlineStr">
        <is>
          <t>Towel Bar 24"</t>
        </is>
      </c>
      <c r="E56" s="7" t="n"/>
      <c r="F56" s="7" t="n"/>
      <c r="G56" s="7" t="n"/>
      <c r="H56" s="7" t="n"/>
      <c r="I56" s="8" t="n"/>
      <c r="J56" s="8" t="n"/>
      <c r="K56" s="8" t="n"/>
      <c r="L56" s="8" t="inlineStr">
        <is>
          <t>Not run</t>
        </is>
      </c>
      <c r="M56" s="8" t="n"/>
      <c r="N56" s="8" t="n"/>
      <c r="O56" s="7" t="n"/>
      <c r="P56" s="7" t="inlineStr">
        <is>
          <t>Yes</t>
        </is>
      </c>
      <c r="Q56" t="inlineStr">
        <is>
          <t>Proposed</t>
        </is>
      </c>
      <c r="R56" s="20" t="n"/>
      <c r="S56" s="39" t="n"/>
    </row>
    <row r="57">
      <c r="A57" s="7" t="inlineStr">
        <is>
          <t>UH-101</t>
        </is>
      </c>
      <c r="B57" s="7" t="inlineStr">
        <is>
          <t>1st Floor</t>
        </is>
      </c>
      <c r="C57" s="7" t="inlineStr">
        <is>
          <t>Powder Room</t>
        </is>
      </c>
      <c r="D57" s="7" t="inlineStr">
        <is>
          <t>Vanity Mirror</t>
        </is>
      </c>
      <c r="E57" s="7" t="n"/>
      <c r="F57" s="7" t="n"/>
      <c r="G57" s="7" t="n"/>
      <c r="H57" s="7" t="n"/>
      <c r="I57" s="8" t="n"/>
      <c r="J57" s="8" t="n"/>
      <c r="K57" s="8" t="n"/>
      <c r="L57" s="8" t="inlineStr">
        <is>
          <t>Not run</t>
        </is>
      </c>
      <c r="M57" s="8" t="n"/>
      <c r="N57" s="8" t="n"/>
      <c r="O57" s="7" t="n"/>
      <c r="P57" s="7" t="inlineStr">
        <is>
          <t>Yes</t>
        </is>
      </c>
      <c r="Q57" t="inlineStr">
        <is>
          <t>Proposed</t>
        </is>
      </c>
      <c r="R57" s="20" t="n"/>
      <c r="S57" s="39" t="n"/>
    </row>
    <row r="58">
      <c r="A58" s="7" t="inlineStr">
        <is>
          <t>UH-101</t>
        </is>
      </c>
      <c r="B58" s="7" t="inlineStr">
        <is>
          <t>1st Floor</t>
        </is>
      </c>
      <c r="C58" s="7" t="inlineStr">
        <is>
          <t>Powder Room</t>
        </is>
      </c>
      <c r="D58" s="7" t="inlineStr">
        <is>
          <t>Light Fixture - Bath</t>
        </is>
      </c>
      <c r="E58" s="7" t="n"/>
      <c r="F58" s="7" t="n"/>
      <c r="G58" s="7" t="n"/>
      <c r="H58" s="7" t="n"/>
      <c r="I58" s="8" t="n"/>
      <c r="J58" s="8" t="n"/>
      <c r="K58" s="8" t="n"/>
      <c r="L58" s="8" t="inlineStr">
        <is>
          <t>Not run</t>
        </is>
      </c>
      <c r="M58" s="8" t="n"/>
      <c r="N58" s="8" t="n"/>
      <c r="O58" s="7" t="n"/>
      <c r="P58" s="7" t="inlineStr">
        <is>
          <t>Yes</t>
        </is>
      </c>
      <c r="Q58" t="inlineStr">
        <is>
          <t>Proposed</t>
        </is>
      </c>
      <c r="R58" s="20" t="n"/>
      <c r="S58" s="39" t="n"/>
    </row>
    <row r="59">
      <c r="A59" s="7" t="inlineStr">
        <is>
          <t>UH-101</t>
        </is>
      </c>
      <c r="B59" s="7" t="inlineStr">
        <is>
          <t>1st Floor</t>
        </is>
      </c>
      <c r="C59" s="7" t="inlineStr">
        <is>
          <t>Powder Room</t>
        </is>
      </c>
      <c r="D59" s="7" t="inlineStr">
        <is>
          <t>Flush Toilet</t>
        </is>
      </c>
      <c r="E59" s="7" t="n"/>
      <c r="F59" s="7" t="n"/>
      <c r="G59" s="7" t="n"/>
      <c r="H59" s="7" t="n"/>
      <c r="I59" s="8" t="n"/>
      <c r="J59" s="8" t="n"/>
      <c r="K59" s="8" t="n"/>
      <c r="L59" s="8" t="inlineStr">
        <is>
          <t>Not run</t>
        </is>
      </c>
      <c r="M59" s="8" t="n"/>
      <c r="N59" s="8" t="n"/>
      <c r="O59" s="7" t="n"/>
      <c r="P59" s="7" t="inlineStr">
        <is>
          <t>Yes</t>
        </is>
      </c>
      <c r="Q59" t="inlineStr">
        <is>
          <t>Proposed</t>
        </is>
      </c>
      <c r="R59" s="20" t="n"/>
      <c r="S59" s="39" t="n"/>
    </row>
    <row r="60">
      <c r="A60" s="7" t="inlineStr">
        <is>
          <t>UH-101</t>
        </is>
      </c>
      <c r="B60" s="7" t="inlineStr">
        <is>
          <t>1st Floor</t>
        </is>
      </c>
      <c r="C60" s="7" t="inlineStr">
        <is>
          <t>Powder Room</t>
        </is>
      </c>
      <c r="D60" s="7" t="inlineStr">
        <is>
          <t>Toilet Paper Holder</t>
        </is>
      </c>
      <c r="E60" s="7" t="n"/>
      <c r="F60" s="7" t="n"/>
      <c r="G60" s="7" t="n"/>
      <c r="H60" s="7" t="n"/>
      <c r="I60" s="8" t="n"/>
      <c r="J60" s="8" t="n"/>
      <c r="K60" s="8" t="n"/>
      <c r="L60" s="8" t="inlineStr">
        <is>
          <t>Not run</t>
        </is>
      </c>
      <c r="M60" s="8" t="n"/>
      <c r="N60" s="8" t="n"/>
      <c r="O60" s="7" t="n"/>
      <c r="P60" s="7" t="inlineStr">
        <is>
          <t>Yes</t>
        </is>
      </c>
      <c r="Q60" t="inlineStr">
        <is>
          <t>Proposed</t>
        </is>
      </c>
      <c r="R60" s="20" t="n"/>
      <c r="S60" s="39" t="n"/>
    </row>
    <row r="61">
      <c r="A61" s="7" t="inlineStr">
        <is>
          <t>UH-101</t>
        </is>
      </c>
      <c r="B61" s="7" t="inlineStr">
        <is>
          <t>1st Floor</t>
        </is>
      </c>
      <c r="C61" s="7" t="inlineStr">
        <is>
          <t>Powder Room</t>
        </is>
      </c>
      <c r="D61" s="7" t="inlineStr">
        <is>
          <t>Toilet Lever</t>
        </is>
      </c>
      <c r="E61" s="7" t="n"/>
      <c r="F61" s="7" t="n"/>
      <c r="G61" s="7" t="n"/>
      <c r="H61" s="7" t="n"/>
      <c r="I61" s="8" t="n"/>
      <c r="J61" s="8" t="n"/>
      <c r="K61" s="8" t="n"/>
      <c r="L61" s="8" t="inlineStr">
        <is>
          <t>Not run</t>
        </is>
      </c>
      <c r="M61" s="8" t="n"/>
      <c r="N61" s="8" t="n"/>
      <c r="O61" s="7" t="n"/>
      <c r="P61" s="7" t="inlineStr">
        <is>
          <t>Yes</t>
        </is>
      </c>
      <c r="Q61" t="inlineStr">
        <is>
          <t>Proposed</t>
        </is>
      </c>
      <c r="R61" s="20" t="n"/>
      <c r="S61" s="39" t="n"/>
    </row>
    <row r="62">
      <c r="A62" s="7" t="inlineStr">
        <is>
          <t>UH-101</t>
        </is>
      </c>
      <c r="B62" s="7" t="inlineStr">
        <is>
          <t>1st Floor</t>
        </is>
      </c>
      <c r="C62" s="7" t="inlineStr">
        <is>
          <t>Powder Room</t>
        </is>
      </c>
      <c r="D62" s="7" t="inlineStr">
        <is>
          <t>Doors - Interior</t>
        </is>
      </c>
      <c r="E62" s="7" t="n"/>
      <c r="F62" s="7" t="n"/>
      <c r="G62" s="7" t="n"/>
      <c r="H62" s="7" t="n"/>
      <c r="I62" s="8" t="n"/>
      <c r="J62" s="8" t="n"/>
      <c r="K62" s="8" t="n"/>
      <c r="L62" s="8" t="inlineStr">
        <is>
          <t>Not run</t>
        </is>
      </c>
      <c r="M62" s="8" t="n"/>
      <c r="N62" s="8" t="n"/>
      <c r="O62" s="7" t="n"/>
      <c r="P62" s="7" t="inlineStr">
        <is>
          <t>Yes</t>
        </is>
      </c>
      <c r="Q62" t="inlineStr">
        <is>
          <t>Proposed</t>
        </is>
      </c>
      <c r="R62" s="20" t="n"/>
      <c r="S62" s="39" t="n"/>
    </row>
    <row r="63">
      <c r="A63" s="7" t="inlineStr">
        <is>
          <t>UH-101</t>
        </is>
      </c>
      <c r="B63" s="7" t="inlineStr">
        <is>
          <t>1st Floor</t>
        </is>
      </c>
      <c r="C63" s="7" t="inlineStr">
        <is>
          <t>Powder Room</t>
        </is>
      </c>
      <c r="D63" s="7" t="inlineStr">
        <is>
          <t>Door Stopper</t>
        </is>
      </c>
      <c r="E63" s="7" t="n"/>
      <c r="F63" s="7" t="n"/>
      <c r="G63" s="7" t="n"/>
      <c r="H63" s="7" t="n"/>
      <c r="I63" s="8" t="n"/>
      <c r="J63" s="8" t="n"/>
      <c r="K63" s="8" t="n"/>
      <c r="L63" s="8" t="inlineStr">
        <is>
          <t>Not run</t>
        </is>
      </c>
      <c r="M63" s="8" t="n"/>
      <c r="N63" s="8" t="n"/>
      <c r="O63" s="7" t="n"/>
      <c r="P63" s="7" t="inlineStr">
        <is>
          <t>Yes</t>
        </is>
      </c>
      <c r="Q63" t="inlineStr">
        <is>
          <t>Proposed</t>
        </is>
      </c>
      <c r="R63" s="20" t="n"/>
      <c r="S63" s="39" t="n"/>
    </row>
    <row r="64">
      <c r="A64" s="7" t="inlineStr">
        <is>
          <t>UH-101</t>
        </is>
      </c>
      <c r="B64" s="7" t="inlineStr">
        <is>
          <t>1st Floor</t>
        </is>
      </c>
      <c r="C64" s="7" t="inlineStr">
        <is>
          <t>Powder Room</t>
        </is>
      </c>
      <c r="D64" s="7" t="inlineStr">
        <is>
          <t>Exhaust Fan</t>
        </is>
      </c>
      <c r="E64" s="7" t="n"/>
      <c r="F64" s="7" t="n"/>
      <c r="G64" s="7" t="n"/>
      <c r="H64" s="7" t="n"/>
      <c r="I64" s="8" t="n"/>
      <c r="J64" s="8" t="n"/>
      <c r="K64" s="8" t="n"/>
      <c r="L64" s="8" t="inlineStr">
        <is>
          <t>Not run</t>
        </is>
      </c>
      <c r="M64" s="8" t="n"/>
      <c r="N64" s="8" t="n"/>
      <c r="O64" s="7" t="n"/>
      <c r="P64" s="7" t="inlineStr">
        <is>
          <t>Yes</t>
        </is>
      </c>
      <c r="Q64" t="inlineStr">
        <is>
          <t>Proposed</t>
        </is>
      </c>
      <c r="R64" s="20" t="n"/>
      <c r="S64" s="39" t="n"/>
    </row>
    <row r="65">
      <c r="A65" s="7" t="inlineStr">
        <is>
          <t>UH-101</t>
        </is>
      </c>
      <c r="B65" s="7" t="inlineStr">
        <is>
          <t>1st Floor</t>
        </is>
      </c>
      <c r="C65" s="7" t="inlineStr">
        <is>
          <t>2nd Kitchen</t>
        </is>
      </c>
      <c r="D65" s="7" t="inlineStr">
        <is>
          <t>Flooring</t>
        </is>
      </c>
      <c r="E65" s="7" t="n"/>
      <c r="F65" s="7" t="n"/>
      <c r="G65" s="7" t="n"/>
      <c r="H65" s="7" t="n"/>
      <c r="I65" s="8" t="n"/>
      <c r="J65" s="8" t="n"/>
      <c r="K65" s="8" t="n"/>
      <c r="L65" s="8" t="inlineStr">
        <is>
          <t>Not run</t>
        </is>
      </c>
      <c r="M65" s="8" t="n"/>
      <c r="N65" s="8" t="n"/>
      <c r="O65" s="7" t="n"/>
      <c r="P65" s="7" t="inlineStr">
        <is>
          <t>Yes</t>
        </is>
      </c>
      <c r="Q65" t="inlineStr">
        <is>
          <t>Proposed</t>
        </is>
      </c>
      <c r="R65" s="20" t="n"/>
      <c r="S65" s="39" t="n"/>
    </row>
    <row r="66">
      <c r="A66" s="7" t="inlineStr">
        <is>
          <t>UH-101</t>
        </is>
      </c>
      <c r="B66" s="7" t="inlineStr">
        <is>
          <t>1st Floor</t>
        </is>
      </c>
      <c r="C66" s="7" t="inlineStr">
        <is>
          <t>2nd Kitchen</t>
        </is>
      </c>
      <c r="D66" s="7" t="inlineStr">
        <is>
          <t>Counter top</t>
        </is>
      </c>
      <c r="E66" s="7" t="n"/>
      <c r="F66" s="7" t="n"/>
      <c r="G66" s="7" t="n"/>
      <c r="H66" s="7" t="n"/>
      <c r="I66" s="8" t="n"/>
      <c r="J66" s="8" t="n"/>
      <c r="K66" s="8" t="n"/>
      <c r="L66" s="8" t="inlineStr">
        <is>
          <t>Not run</t>
        </is>
      </c>
      <c r="M66" s="8" t="n"/>
      <c r="N66" s="8" t="n"/>
      <c r="O66" s="7" t="n"/>
      <c r="P66" s="7" t="inlineStr">
        <is>
          <t>Yes</t>
        </is>
      </c>
      <c r="Q66" t="inlineStr">
        <is>
          <t>Proposed</t>
        </is>
      </c>
      <c r="R66" s="20" t="n"/>
      <c r="S66" s="39" t="n"/>
    </row>
    <row r="67">
      <c r="A67" s="7" t="inlineStr">
        <is>
          <t>UH-101</t>
        </is>
      </c>
      <c r="B67" s="7" t="inlineStr">
        <is>
          <t>1st Floor</t>
        </is>
      </c>
      <c r="C67" s="7" t="inlineStr">
        <is>
          <t>2nd Kitchen</t>
        </is>
      </c>
      <c r="D67" s="7" t="inlineStr">
        <is>
          <t>Backsplash</t>
        </is>
      </c>
      <c r="E67" s="7" t="n"/>
      <c r="F67" s="7" t="n"/>
      <c r="G67" s="7" t="n"/>
      <c r="H67" s="7" t="n"/>
      <c r="I67" s="8" t="n"/>
      <c r="J67" s="8" t="n"/>
      <c r="K67" s="8" t="n"/>
      <c r="L67" s="8" t="inlineStr">
        <is>
          <t>Not run</t>
        </is>
      </c>
      <c r="M67" s="8" t="n"/>
      <c r="N67" s="8" t="n"/>
      <c r="O67" s="7" t="n"/>
      <c r="P67" s="7" t="inlineStr">
        <is>
          <t>Yes</t>
        </is>
      </c>
      <c r="Q67" t="inlineStr">
        <is>
          <t>Proposed</t>
        </is>
      </c>
      <c r="R67" s="20" t="n"/>
      <c r="S67" s="39" t="n"/>
    </row>
    <row r="68">
      <c r="A68" s="7" t="inlineStr">
        <is>
          <t>UH-101</t>
        </is>
      </c>
      <c r="B68" s="7" t="inlineStr">
        <is>
          <t>1st Floor</t>
        </is>
      </c>
      <c r="C68" s="7" t="inlineStr">
        <is>
          <t>2nd Kitchen</t>
        </is>
      </c>
      <c r="D68" s="7" t="inlineStr">
        <is>
          <t>Venthood</t>
        </is>
      </c>
      <c r="E68" s="7" t="n"/>
      <c r="F68" s="7" t="n"/>
      <c r="G68" s="7" t="n"/>
      <c r="H68" s="7" t="n"/>
      <c r="I68" s="8" t="n"/>
      <c r="J68" s="8" t="n"/>
      <c r="K68" s="8" t="n"/>
      <c r="L68" s="8" t="inlineStr">
        <is>
          <t>Not run</t>
        </is>
      </c>
      <c r="M68" s="8" t="n"/>
      <c r="N68" s="8" t="n"/>
      <c r="O68" s="7" t="n"/>
      <c r="P68" s="7" t="inlineStr">
        <is>
          <t>Yes</t>
        </is>
      </c>
      <c r="Q68" t="inlineStr">
        <is>
          <t>Proposed</t>
        </is>
      </c>
      <c r="R68" s="20" t="n"/>
      <c r="S68" s="39" t="n"/>
    </row>
    <row r="69">
      <c r="A69" s="7" t="inlineStr">
        <is>
          <t>UH-101</t>
        </is>
      </c>
      <c r="B69" s="7" t="inlineStr">
        <is>
          <t>1st Floor</t>
        </is>
      </c>
      <c r="C69" s="7" t="inlineStr">
        <is>
          <t>2nd Kitchen</t>
        </is>
      </c>
      <c r="D69" s="7" t="inlineStr">
        <is>
          <t>Cooktop/range</t>
        </is>
      </c>
      <c r="E69" s="7" t="n"/>
      <c r="F69" s="7" t="n"/>
      <c r="G69" s="7" t="n"/>
      <c r="H69" s="7" t="n"/>
      <c r="I69" s="8" t="n"/>
      <c r="J69" s="8" t="n"/>
      <c r="K69" s="8" t="n"/>
      <c r="L69" s="8" t="inlineStr">
        <is>
          <t>Not run</t>
        </is>
      </c>
      <c r="M69" s="8" t="n"/>
      <c r="N69" s="8" t="n"/>
      <c r="O69" s="7" t="n"/>
      <c r="P69" s="7" t="inlineStr">
        <is>
          <t>Yes</t>
        </is>
      </c>
      <c r="Q69" t="inlineStr">
        <is>
          <t>Proposed</t>
        </is>
      </c>
      <c r="R69" s="20" t="n"/>
      <c r="S69" s="39" t="n"/>
    </row>
    <row r="70">
      <c r="A70" s="7" t="inlineStr">
        <is>
          <t>UH-101</t>
        </is>
      </c>
      <c r="B70" s="7" t="inlineStr">
        <is>
          <t>1st Floor</t>
        </is>
      </c>
      <c r="C70" s="7" t="inlineStr">
        <is>
          <t>2nd Kitchen</t>
        </is>
      </c>
      <c r="D70" s="7" t="inlineStr">
        <is>
          <t>Dishwasher</t>
        </is>
      </c>
      <c r="E70" s="7" t="n"/>
      <c r="F70" s="7" t="n"/>
      <c r="G70" s="7" t="n"/>
      <c r="H70" s="7" t="n"/>
      <c r="I70" s="8" t="n"/>
      <c r="J70" s="8" t="n"/>
      <c r="K70" s="8" t="n"/>
      <c r="L70" s="8" t="inlineStr">
        <is>
          <t>Not run</t>
        </is>
      </c>
      <c r="M70" s="8" t="n"/>
      <c r="N70" s="8" t="n"/>
      <c r="O70" s="7" t="n"/>
      <c r="P70" s="7" t="inlineStr">
        <is>
          <t>Yes</t>
        </is>
      </c>
      <c r="Q70" t="inlineStr">
        <is>
          <t>Proposed</t>
        </is>
      </c>
      <c r="R70" s="20" t="n"/>
      <c r="S70" s="39" t="n"/>
    </row>
    <row r="71">
      <c r="A71" s="7" t="inlineStr">
        <is>
          <t>UH-101</t>
        </is>
      </c>
      <c r="B71" s="7" t="inlineStr">
        <is>
          <t>1st Floor</t>
        </is>
      </c>
      <c r="C71" s="7" t="inlineStr">
        <is>
          <t>2nd Kitchen</t>
        </is>
      </c>
      <c r="D71" s="7" t="inlineStr">
        <is>
          <t>Kitchen Sink</t>
        </is>
      </c>
      <c r="E71" s="7" t="n"/>
      <c r="F71" s="7" t="n"/>
      <c r="G71" s="7" t="n"/>
      <c r="H71" s="7" t="n"/>
      <c r="I71" s="8" t="n"/>
      <c r="J71" s="8" t="n"/>
      <c r="K71" s="8" t="n"/>
      <c r="L71" s="8" t="inlineStr">
        <is>
          <t>Not run</t>
        </is>
      </c>
      <c r="M71" s="8" t="n"/>
      <c r="N71" s="8" t="n"/>
      <c r="O71" s="7" t="n"/>
      <c r="P71" s="7" t="inlineStr">
        <is>
          <t>Yes</t>
        </is>
      </c>
      <c r="Q71" t="inlineStr">
        <is>
          <t>Proposed</t>
        </is>
      </c>
      <c r="R71" s="20" t="n"/>
      <c r="S71" s="39" t="n"/>
    </row>
    <row r="72">
      <c r="A72" s="7" t="inlineStr">
        <is>
          <t>UH-101</t>
        </is>
      </c>
      <c r="B72" s="7" t="inlineStr">
        <is>
          <t>1st Floor</t>
        </is>
      </c>
      <c r="C72" s="7" t="inlineStr">
        <is>
          <t>2nd Kitchen</t>
        </is>
      </c>
      <c r="D72" s="7" t="inlineStr">
        <is>
          <t>Kitchen Faucet</t>
        </is>
      </c>
      <c r="E72" s="7" t="n"/>
      <c r="F72" s="7" t="n"/>
      <c r="G72" s="7" t="n"/>
      <c r="H72" s="7" t="n"/>
      <c r="I72" s="8" t="n"/>
      <c r="J72" s="8" t="n"/>
      <c r="K72" s="8" t="n"/>
      <c r="L72" s="8" t="inlineStr">
        <is>
          <t>Not run</t>
        </is>
      </c>
      <c r="M72" s="8" t="n"/>
      <c r="N72" s="8" t="n"/>
      <c r="O72" s="7" t="n"/>
      <c r="P72" s="7" t="inlineStr">
        <is>
          <t>Yes</t>
        </is>
      </c>
      <c r="Q72" t="inlineStr">
        <is>
          <t>Proposed</t>
        </is>
      </c>
      <c r="R72" s="20" t="n"/>
      <c r="S72" s="39" t="n"/>
    </row>
    <row r="73">
      <c r="A73" s="7" t="inlineStr">
        <is>
          <t>UH-101</t>
        </is>
      </c>
      <c r="B73" s="7" t="inlineStr">
        <is>
          <t>1st Floor</t>
        </is>
      </c>
      <c r="C73" s="7" t="inlineStr">
        <is>
          <t>2nd Kitchen</t>
        </is>
      </c>
      <c r="D73" s="7" t="inlineStr">
        <is>
          <t>Doors - Interior</t>
        </is>
      </c>
      <c r="E73" s="7" t="n"/>
      <c r="F73" s="7" t="n"/>
      <c r="G73" s="7" t="n"/>
      <c r="H73" s="7" t="n"/>
      <c r="I73" s="8" t="n"/>
      <c r="J73" s="8" t="n"/>
      <c r="K73" s="8" t="n"/>
      <c r="L73" s="8" t="inlineStr">
        <is>
          <t>Not run</t>
        </is>
      </c>
      <c r="M73" s="8" t="n"/>
      <c r="N73" s="8" t="n"/>
      <c r="O73" s="7" t="n"/>
      <c r="P73" s="7" t="inlineStr">
        <is>
          <t>Yes</t>
        </is>
      </c>
      <c r="Q73" t="inlineStr">
        <is>
          <t>Proposed</t>
        </is>
      </c>
      <c r="R73" s="20" t="n"/>
      <c r="S73" s="39" t="n"/>
    </row>
    <row r="74">
      <c r="A74" s="7" t="inlineStr">
        <is>
          <t>UH-101</t>
        </is>
      </c>
      <c r="B74" s="7" t="inlineStr">
        <is>
          <t>1st Floor</t>
        </is>
      </c>
      <c r="C74" s="7" t="inlineStr">
        <is>
          <t>2nd Kitchen</t>
        </is>
      </c>
      <c r="D74" s="7" t="inlineStr">
        <is>
          <t>Doors - Exterior</t>
        </is>
      </c>
      <c r="E74" s="7" t="n"/>
      <c r="F74" s="7" t="n"/>
      <c r="G74" s="7" t="n"/>
      <c r="H74" s="7" t="n"/>
      <c r="I74" s="8" t="n"/>
      <c r="J74" s="8" t="n"/>
      <c r="K74" s="8" t="n"/>
      <c r="L74" s="8" t="inlineStr">
        <is>
          <t>Not run</t>
        </is>
      </c>
      <c r="M74" s="8" t="n"/>
      <c r="N74" s="8" t="n"/>
      <c r="O74" s="7" t="n"/>
      <c r="P74" s="7" t="inlineStr">
        <is>
          <t>Yes</t>
        </is>
      </c>
      <c r="Q74" t="inlineStr">
        <is>
          <t>Proposed</t>
        </is>
      </c>
      <c r="R74" s="20" t="n"/>
      <c r="S74" s="39" t="n"/>
    </row>
    <row r="75">
      <c r="A75" s="7" t="inlineStr">
        <is>
          <t>UH-101</t>
        </is>
      </c>
      <c r="B75" s="7" t="inlineStr">
        <is>
          <t>1st Floor</t>
        </is>
      </c>
      <c r="C75" s="7" t="inlineStr">
        <is>
          <t>Corridor (walkway)</t>
        </is>
      </c>
      <c r="D75" s="7" t="inlineStr">
        <is>
          <t>Flooring - walkway</t>
        </is>
      </c>
      <c r="E75" s="7" t="n"/>
      <c r="F75" s="7" t="n"/>
      <c r="G75" s="7" t="n"/>
      <c r="H75" s="7" t="n"/>
      <c r="I75" s="8" t="n"/>
      <c r="J75" s="8" t="n"/>
      <c r="K75" s="8" t="n"/>
      <c r="L75" s="8" t="inlineStr">
        <is>
          <t>Not run</t>
        </is>
      </c>
      <c r="M75" s="8" t="n"/>
      <c r="N75" s="8" t="n"/>
      <c r="O75" s="7" t="n"/>
      <c r="P75" s="7" t="inlineStr">
        <is>
          <t>Yes</t>
        </is>
      </c>
      <c r="Q75" t="inlineStr">
        <is>
          <t>Proposed</t>
        </is>
      </c>
      <c r="R75" s="20" t="n"/>
      <c r="S75" s="39" t="n"/>
    </row>
    <row r="76">
      <c r="A76" s="7" t="inlineStr">
        <is>
          <t>UH-101</t>
        </is>
      </c>
      <c r="B76" s="7" t="inlineStr">
        <is>
          <t>1st Floor</t>
        </is>
      </c>
      <c r="C76" s="7" t="inlineStr">
        <is>
          <t>Corridor (walkway)</t>
        </is>
      </c>
      <c r="D76" s="7" t="inlineStr">
        <is>
          <t>Interior Door</t>
        </is>
      </c>
      <c r="E76" s="7" t="n"/>
      <c r="F76" s="7" t="n"/>
      <c r="G76" s="7" t="n"/>
      <c r="H76" s="7" t="n"/>
      <c r="I76" s="8" t="n"/>
      <c r="J76" s="8" t="n"/>
      <c r="K76" s="8" t="n"/>
      <c r="L76" s="8" t="inlineStr">
        <is>
          <t>Not run</t>
        </is>
      </c>
      <c r="M76" s="8" t="n"/>
      <c r="N76" s="8" t="n"/>
      <c r="O76" s="7" t="n"/>
      <c r="P76" s="7" t="inlineStr">
        <is>
          <t>Yes</t>
        </is>
      </c>
      <c r="Q76" t="inlineStr">
        <is>
          <t>Proposed</t>
        </is>
      </c>
      <c r="R76" s="20" t="n"/>
      <c r="S76" s="39" t="n"/>
    </row>
    <row r="77">
      <c r="A77" s="7" t="inlineStr">
        <is>
          <t>UH-101</t>
        </is>
      </c>
      <c r="B77" s="7" t="inlineStr">
        <is>
          <t>1st Floor</t>
        </is>
      </c>
      <c r="C77" s="7" t="inlineStr">
        <is>
          <t>Corridor (walkway)</t>
        </is>
      </c>
      <c r="D77" s="7" t="inlineStr">
        <is>
          <t>Door Stopper</t>
        </is>
      </c>
      <c r="E77" s="7" t="n"/>
      <c r="F77" s="7" t="n"/>
      <c r="G77" s="7" t="n"/>
      <c r="H77" s="7" t="n"/>
      <c r="I77" s="8" t="n"/>
      <c r="J77" s="8" t="n"/>
      <c r="K77" s="8" t="n"/>
      <c r="L77" s="8" t="inlineStr">
        <is>
          <t>Not run</t>
        </is>
      </c>
      <c r="M77" s="8" t="n"/>
      <c r="N77" s="8" t="n"/>
      <c r="O77" s="7" t="n"/>
      <c r="P77" s="7" t="inlineStr">
        <is>
          <t>Yes</t>
        </is>
      </c>
      <c r="Q77" t="inlineStr">
        <is>
          <t>Proposed</t>
        </is>
      </c>
      <c r="R77" s="20" t="n"/>
      <c r="S77" s="39" t="n"/>
    </row>
    <row r="78">
      <c r="A78" s="7" t="inlineStr">
        <is>
          <t>UH-101</t>
        </is>
      </c>
      <c r="B78" s="7" t="inlineStr">
        <is>
          <t>1st Floor</t>
        </is>
      </c>
      <c r="C78" s="7" t="inlineStr">
        <is>
          <t>Elevator</t>
        </is>
      </c>
      <c r="D78" s="7" t="inlineStr">
        <is>
          <t>Flooring</t>
        </is>
      </c>
      <c r="E78" s="7" t="n"/>
      <c r="F78" s="7" t="n"/>
      <c r="G78" s="7" t="n"/>
      <c r="H78" s="7" t="n"/>
      <c r="I78" s="8" t="n"/>
      <c r="J78" s="8" t="n"/>
      <c r="K78" s="8" t="n"/>
      <c r="L78" s="8" t="inlineStr">
        <is>
          <t>Not run</t>
        </is>
      </c>
      <c r="M78" s="8" t="n"/>
      <c r="N78" s="8" t="n"/>
      <c r="O78" s="7" t="n"/>
      <c r="P78" s="7" t="inlineStr">
        <is>
          <t>Yes</t>
        </is>
      </c>
      <c r="Q78" t="inlineStr">
        <is>
          <t>Proposed</t>
        </is>
      </c>
      <c r="R78" s="20" t="n"/>
      <c r="S78" s="39" t="n"/>
    </row>
    <row r="79">
      <c r="A79" s="7" t="inlineStr">
        <is>
          <t>UH-101</t>
        </is>
      </c>
      <c r="B79" s="7" t="inlineStr">
        <is>
          <t>1st Floor</t>
        </is>
      </c>
      <c r="C79" s="7" t="inlineStr">
        <is>
          <t>Master Bedroom</t>
        </is>
      </c>
      <c r="D79" s="7" t="inlineStr">
        <is>
          <t>Flooring</t>
        </is>
      </c>
      <c r="E79" s="7" t="n"/>
      <c r="F79" s="7" t="n"/>
      <c r="G79" s="7" t="n"/>
      <c r="H79" s="7" t="n"/>
      <c r="I79" s="8" t="n"/>
      <c r="J79" s="8" t="n"/>
      <c r="K79" s="8" t="n"/>
      <c r="L79" s="8" t="inlineStr">
        <is>
          <t>Not run</t>
        </is>
      </c>
      <c r="M79" s="8" t="n"/>
      <c r="N79" s="8" t="n"/>
      <c r="O79" s="7" t="n"/>
      <c r="P79" s="7" t="inlineStr">
        <is>
          <t>Yes</t>
        </is>
      </c>
      <c r="Q79" t="inlineStr">
        <is>
          <t>Proposed</t>
        </is>
      </c>
      <c r="R79" s="20" t="n"/>
      <c r="S79" s="39" t="n"/>
    </row>
    <row r="80">
      <c r="A80" s="7" t="inlineStr">
        <is>
          <t>UH-101</t>
        </is>
      </c>
      <c r="B80" s="7" t="inlineStr">
        <is>
          <t>1st Floor</t>
        </is>
      </c>
      <c r="C80" s="7" t="inlineStr">
        <is>
          <t>Master Bedroom</t>
        </is>
      </c>
      <c r="D80" s="7" t="inlineStr">
        <is>
          <t>Light Fixture - Fan</t>
        </is>
      </c>
      <c r="E80" s="7" t="n"/>
      <c r="F80" s="7" t="n"/>
      <c r="G80" s="7" t="n"/>
      <c r="H80" s="7" t="n"/>
      <c r="I80" s="8" t="n"/>
      <c r="J80" s="8" t="n"/>
      <c r="K80" s="8" t="n"/>
      <c r="L80" s="8" t="inlineStr">
        <is>
          <t>Not run</t>
        </is>
      </c>
      <c r="M80" s="8" t="n"/>
      <c r="N80" s="8" t="n"/>
      <c r="O80" s="7" t="n"/>
      <c r="P80" s="7" t="inlineStr">
        <is>
          <t>Yes</t>
        </is>
      </c>
      <c r="Q80" t="inlineStr">
        <is>
          <t>Proposed</t>
        </is>
      </c>
      <c r="R80" s="20" t="n"/>
      <c r="S80" s="39" t="n"/>
    </row>
    <row r="81">
      <c r="A81" s="7" t="inlineStr">
        <is>
          <t>UH-101</t>
        </is>
      </c>
      <c r="B81" s="7" t="inlineStr">
        <is>
          <t>1st Floor</t>
        </is>
      </c>
      <c r="C81" s="7" t="inlineStr">
        <is>
          <t>Master Bedroom</t>
        </is>
      </c>
      <c r="D81" s="7" t="inlineStr">
        <is>
          <t>Light Fixture - Bedroom</t>
        </is>
      </c>
      <c r="E81" s="7" t="n"/>
      <c r="F81" s="7" t="n"/>
      <c r="G81" s="7" t="n"/>
      <c r="H81" s="7" t="n"/>
      <c r="I81" s="8" t="n"/>
      <c r="J81" s="8" t="n"/>
      <c r="K81" s="8" t="n"/>
      <c r="L81" s="8" t="inlineStr">
        <is>
          <t>Not run</t>
        </is>
      </c>
      <c r="M81" s="8" t="n"/>
      <c r="N81" s="8" t="n"/>
      <c r="O81" s="7" t="n"/>
      <c r="P81" s="7" t="inlineStr">
        <is>
          <t>Yes</t>
        </is>
      </c>
      <c r="Q81" t="inlineStr">
        <is>
          <t>Proposed</t>
        </is>
      </c>
      <c r="R81" s="20" t="n"/>
      <c r="S81" s="39" t="n"/>
    </row>
    <row r="82">
      <c r="A82" s="7" t="inlineStr">
        <is>
          <t>UH-101</t>
        </is>
      </c>
      <c r="B82" s="7" t="inlineStr">
        <is>
          <t>1st Floor</t>
        </is>
      </c>
      <c r="C82" s="7" t="inlineStr">
        <is>
          <t>Master Bedroom</t>
        </is>
      </c>
      <c r="D82" s="7" t="inlineStr">
        <is>
          <t>Interior Door</t>
        </is>
      </c>
      <c r="E82" s="7" t="n"/>
      <c r="F82" s="7" t="n"/>
      <c r="G82" s="7" t="n"/>
      <c r="H82" s="7" t="n"/>
      <c r="I82" s="8" t="n"/>
      <c r="J82" s="8" t="n"/>
      <c r="K82" s="8" t="n"/>
      <c r="L82" s="8" t="inlineStr">
        <is>
          <t>Not run</t>
        </is>
      </c>
      <c r="M82" s="8" t="n"/>
      <c r="N82" s="8" t="n"/>
      <c r="O82" s="7" t="n"/>
      <c r="P82" s="7" t="inlineStr">
        <is>
          <t>Yes</t>
        </is>
      </c>
      <c r="Q82" t="inlineStr">
        <is>
          <t>Proposed</t>
        </is>
      </c>
      <c r="R82" s="20" t="n"/>
      <c r="S82" s="39" t="n"/>
    </row>
    <row r="83">
      <c r="A83" s="7" t="inlineStr">
        <is>
          <t>UH-101</t>
        </is>
      </c>
      <c r="B83" s="7" t="inlineStr">
        <is>
          <t>1st Floor</t>
        </is>
      </c>
      <c r="C83" s="7" t="inlineStr">
        <is>
          <t>Master Bedroom</t>
        </is>
      </c>
      <c r="D83" s="7" t="inlineStr">
        <is>
          <t>Door Stopper</t>
        </is>
      </c>
      <c r="E83" s="7" t="n"/>
      <c r="F83" s="7" t="n"/>
      <c r="G83" s="7" t="n"/>
      <c r="H83" s="7" t="n"/>
      <c r="I83" s="8" t="n"/>
      <c r="J83" s="8" t="n"/>
      <c r="K83" s="8" t="n"/>
      <c r="L83" s="8" t="inlineStr">
        <is>
          <t>Not run</t>
        </is>
      </c>
      <c r="M83" s="8" t="n"/>
      <c r="N83" s="8" t="n"/>
      <c r="O83" s="7" t="n"/>
      <c r="P83" s="7" t="inlineStr">
        <is>
          <t>Yes</t>
        </is>
      </c>
      <c r="Q83" t="inlineStr">
        <is>
          <t>Proposed</t>
        </is>
      </c>
      <c r="R83" s="20" t="n"/>
      <c r="S83" s="39" t="n"/>
    </row>
    <row r="84">
      <c r="A84" s="7" t="inlineStr">
        <is>
          <t>UH-101</t>
        </is>
      </c>
      <c r="B84" s="7" t="inlineStr">
        <is>
          <t>1st Floor</t>
        </is>
      </c>
      <c r="C84" s="7" t="inlineStr">
        <is>
          <t>Master Bathroom</t>
        </is>
      </c>
      <c r="D84" s="7" t="inlineStr">
        <is>
          <t>Flooring - Bath</t>
        </is>
      </c>
      <c r="E84" s="7" t="n"/>
      <c r="F84" s="7" t="n"/>
      <c r="G84" s="7" t="n"/>
      <c r="H84" s="7" t="n"/>
      <c r="I84" s="8" t="n"/>
      <c r="J84" s="8" t="n"/>
      <c r="K84" s="8" t="n"/>
      <c r="L84" s="8" t="inlineStr">
        <is>
          <t>Not run</t>
        </is>
      </c>
      <c r="M84" s="8" t="n"/>
      <c r="N84" s="8" t="n"/>
      <c r="O84" s="7" t="n"/>
      <c r="P84" s="7" t="inlineStr">
        <is>
          <t>Yes</t>
        </is>
      </c>
      <c r="Q84" t="inlineStr">
        <is>
          <t>Proposed</t>
        </is>
      </c>
      <c r="R84" s="20" t="n"/>
      <c r="S84" s="39" t="n"/>
    </row>
    <row r="85">
      <c r="A85" s="7" t="inlineStr">
        <is>
          <t>UH-101</t>
        </is>
      </c>
      <c r="B85" s="7" t="inlineStr">
        <is>
          <t>1st Floor</t>
        </is>
      </c>
      <c r="C85" s="7" t="inlineStr">
        <is>
          <t>Master Bathroom</t>
        </is>
      </c>
      <c r="D85" s="7" t="inlineStr">
        <is>
          <t>Flooring - Shower Floor</t>
        </is>
      </c>
      <c r="E85" s="7" t="n"/>
      <c r="F85" s="7" t="n"/>
      <c r="G85" s="7" t="n"/>
      <c r="H85" s="7" t="n"/>
      <c r="I85" s="8" t="n"/>
      <c r="J85" s="8" t="n"/>
      <c r="K85" s="8" t="n"/>
      <c r="L85" s="8" t="inlineStr">
        <is>
          <t>Not run</t>
        </is>
      </c>
      <c r="M85" s="8" t="n"/>
      <c r="N85" s="8" t="n"/>
      <c r="O85" s="7" t="n"/>
      <c r="P85" s="7" t="inlineStr">
        <is>
          <t>Yes</t>
        </is>
      </c>
      <c r="Q85" t="inlineStr">
        <is>
          <t>Proposed</t>
        </is>
      </c>
      <c r="R85" s="20" t="n"/>
      <c r="S85" s="39" t="n"/>
    </row>
    <row r="86">
      <c r="A86" s="7" t="inlineStr">
        <is>
          <t>UH-101</t>
        </is>
      </c>
      <c r="B86" s="7" t="inlineStr">
        <is>
          <t>1st Floor</t>
        </is>
      </c>
      <c r="C86" s="7" t="inlineStr">
        <is>
          <t>Master Bathroom</t>
        </is>
      </c>
      <c r="D86" s="7" t="inlineStr">
        <is>
          <t>Backsplash - Shower</t>
        </is>
      </c>
      <c r="E86" s="7" t="n"/>
      <c r="F86" s="7" t="n"/>
      <c r="G86" s="7" t="n"/>
      <c r="H86" s="7" t="n"/>
      <c r="I86" s="8" t="n"/>
      <c r="J86" s="8" t="n"/>
      <c r="K86" s="8" t="n"/>
      <c r="L86" s="8" t="inlineStr">
        <is>
          <t>Not run</t>
        </is>
      </c>
      <c r="M86" s="8" t="n"/>
      <c r="N86" s="8" t="n"/>
      <c r="O86" s="7" t="n"/>
      <c r="P86" s="7" t="inlineStr">
        <is>
          <t>Yes</t>
        </is>
      </c>
      <c r="Q86" t="inlineStr">
        <is>
          <t>Proposed</t>
        </is>
      </c>
      <c r="R86" s="20" t="n"/>
      <c r="S86" s="39" t="n"/>
    </row>
    <row r="87">
      <c r="A87" s="7" t="inlineStr">
        <is>
          <t>UH-101</t>
        </is>
      </c>
      <c r="B87" s="7" t="inlineStr">
        <is>
          <t>1st Floor</t>
        </is>
      </c>
      <c r="C87" s="7" t="inlineStr">
        <is>
          <t>Master Bathroom</t>
        </is>
      </c>
      <c r="D87" s="7" t="inlineStr">
        <is>
          <t>Flooring - WIC</t>
        </is>
      </c>
      <c r="E87" s="7" t="n"/>
      <c r="F87" s="7" t="n"/>
      <c r="G87" s="7" t="n"/>
      <c r="H87" s="7" t="n"/>
      <c r="I87" s="8" t="n"/>
      <c r="J87" s="8" t="n"/>
      <c r="K87" s="8" t="n"/>
      <c r="L87" s="8" t="inlineStr">
        <is>
          <t>Not run</t>
        </is>
      </c>
      <c r="M87" s="8" t="n"/>
      <c r="N87" s="8" t="n"/>
      <c r="O87" s="7" t="n"/>
      <c r="P87" s="7" t="inlineStr">
        <is>
          <t>Yes</t>
        </is>
      </c>
      <c r="Q87" t="inlineStr">
        <is>
          <t>Proposed</t>
        </is>
      </c>
      <c r="R87" s="20" t="n"/>
      <c r="S87" s="39" t="n"/>
    </row>
    <row r="88">
      <c r="A88" s="7" t="inlineStr">
        <is>
          <t>UH-101</t>
        </is>
      </c>
      <c r="B88" s="7" t="inlineStr">
        <is>
          <t>1st Floor</t>
        </is>
      </c>
      <c r="C88" s="7" t="inlineStr">
        <is>
          <t>Master Bathroom</t>
        </is>
      </c>
      <c r="D88" s="7" t="inlineStr">
        <is>
          <t>Counter top</t>
        </is>
      </c>
      <c r="E88" s="7" t="n"/>
      <c r="F88" s="7" t="n"/>
      <c r="G88" s="7" t="n"/>
      <c r="H88" s="7" t="n"/>
      <c r="I88" s="8" t="n"/>
      <c r="J88" s="8" t="n"/>
      <c r="K88" s="8" t="n"/>
      <c r="L88" s="8" t="inlineStr">
        <is>
          <t>Not run</t>
        </is>
      </c>
      <c r="M88" s="8" t="n"/>
      <c r="N88" s="8" t="n"/>
      <c r="O88" s="7" t="n"/>
      <c r="P88" s="7" t="inlineStr">
        <is>
          <t>Yes</t>
        </is>
      </c>
      <c r="Q88" t="inlineStr">
        <is>
          <t>Proposed</t>
        </is>
      </c>
      <c r="R88" s="20" t="n"/>
      <c r="S88" s="39" t="n"/>
    </row>
    <row r="89">
      <c r="A89" s="7" t="inlineStr">
        <is>
          <t>UH-101</t>
        </is>
      </c>
      <c r="B89" s="7" t="inlineStr">
        <is>
          <t>1st Floor</t>
        </is>
      </c>
      <c r="C89" s="7" t="inlineStr">
        <is>
          <t>Master Bathroom</t>
        </is>
      </c>
      <c r="D89" s="7" t="inlineStr">
        <is>
          <t>Shower Glass</t>
        </is>
      </c>
      <c r="E89" s="7" t="n"/>
      <c r="F89" s="7" t="n"/>
      <c r="G89" s="7" t="n"/>
      <c r="H89" s="7" t="n"/>
      <c r="I89" s="8" t="n"/>
      <c r="J89" s="8" t="n"/>
      <c r="K89" s="8" t="n"/>
      <c r="L89" s="8" t="inlineStr">
        <is>
          <t>Not run</t>
        </is>
      </c>
      <c r="M89" s="8" t="n"/>
      <c r="N89" s="8" t="n"/>
      <c r="O89" s="7" t="n"/>
      <c r="P89" s="7" t="inlineStr">
        <is>
          <t>Yes</t>
        </is>
      </c>
      <c r="Q89" t="inlineStr">
        <is>
          <t>Proposed</t>
        </is>
      </c>
      <c r="R89" s="20" t="n"/>
      <c r="S89" s="39" t="n"/>
    </row>
    <row r="90">
      <c r="A90" s="7" t="inlineStr">
        <is>
          <t>UH-101</t>
        </is>
      </c>
      <c r="B90" s="7" t="inlineStr">
        <is>
          <t>1st Floor</t>
        </is>
      </c>
      <c r="C90" s="7" t="inlineStr">
        <is>
          <t>Master Bathroom</t>
        </is>
      </c>
      <c r="D90" s="7" t="inlineStr">
        <is>
          <t>Shower Head &amp; Valve</t>
        </is>
      </c>
      <c r="E90" s="7" t="n"/>
      <c r="F90" s="7" t="n"/>
      <c r="G90" s="7" t="n"/>
      <c r="H90" s="7" t="n"/>
      <c r="I90" s="8" t="n"/>
      <c r="J90" s="8" t="n"/>
      <c r="K90" s="8" t="n"/>
      <c r="L90" s="8" t="inlineStr">
        <is>
          <t>Not run</t>
        </is>
      </c>
      <c r="M90" s="8" t="n"/>
      <c r="N90" s="8" t="n"/>
      <c r="O90" s="7" t="n"/>
      <c r="P90" s="7" t="inlineStr">
        <is>
          <t>Yes</t>
        </is>
      </c>
      <c r="Q90" t="inlineStr">
        <is>
          <t>Proposed</t>
        </is>
      </c>
      <c r="R90" s="20" t="n"/>
      <c r="S90" s="39" t="n"/>
    </row>
    <row r="91">
      <c r="A91" s="7" t="inlineStr">
        <is>
          <t>UH-101</t>
        </is>
      </c>
      <c r="B91" s="7" t="inlineStr">
        <is>
          <t>1st Floor</t>
        </is>
      </c>
      <c r="C91" s="7" t="inlineStr">
        <is>
          <t>Master Bathroom</t>
        </is>
      </c>
      <c r="D91" s="7" t="inlineStr">
        <is>
          <t>Shower Drain</t>
        </is>
      </c>
      <c r="E91" s="7" t="n"/>
      <c r="F91" s="7" t="n"/>
      <c r="G91" s="7" t="n"/>
      <c r="H91" s="7" t="n"/>
      <c r="I91" s="8" t="n"/>
      <c r="J91" s="8" t="n"/>
      <c r="K91" s="8" t="n"/>
      <c r="L91" s="8" t="inlineStr">
        <is>
          <t>Not run</t>
        </is>
      </c>
      <c r="M91" s="8" t="n"/>
      <c r="N91" s="8" t="n"/>
      <c r="O91" s="7" t="n"/>
      <c r="P91" s="7" t="inlineStr">
        <is>
          <t>Yes</t>
        </is>
      </c>
      <c r="Q91" t="inlineStr">
        <is>
          <t>Proposed</t>
        </is>
      </c>
      <c r="R91" s="20" t="n"/>
      <c r="S91" s="39" t="n"/>
    </row>
    <row r="92">
      <c r="A92" s="7" t="inlineStr">
        <is>
          <t>UH-101</t>
        </is>
      </c>
      <c r="B92" s="7" t="inlineStr">
        <is>
          <t>1st Floor</t>
        </is>
      </c>
      <c r="C92" s="7" t="inlineStr">
        <is>
          <t>Master Bathroom</t>
        </is>
      </c>
      <c r="D92" s="7" t="inlineStr">
        <is>
          <t>Free Standing Bath Tub</t>
        </is>
      </c>
      <c r="E92" s="7" t="n"/>
      <c r="F92" s="7" t="n"/>
      <c r="G92" s="7" t="n"/>
      <c r="H92" s="7" t="n"/>
      <c r="I92" s="8" t="n"/>
      <c r="J92" s="8" t="n"/>
      <c r="K92" s="8" t="n"/>
      <c r="L92" s="8" t="inlineStr">
        <is>
          <t>Not run</t>
        </is>
      </c>
      <c r="M92" s="8" t="n"/>
      <c r="N92" s="8" t="n"/>
      <c r="O92" s="7" t="n"/>
      <c r="P92" s="7" t="inlineStr">
        <is>
          <t>Yes</t>
        </is>
      </c>
      <c r="Q92" t="inlineStr">
        <is>
          <t>Proposed</t>
        </is>
      </c>
      <c r="R92" s="20" t="n"/>
      <c r="S92" s="39" t="n"/>
    </row>
    <row r="93">
      <c r="A93" s="7" t="inlineStr">
        <is>
          <t>UH-101</t>
        </is>
      </c>
      <c r="B93" s="7" t="inlineStr">
        <is>
          <t>1st Floor</t>
        </is>
      </c>
      <c r="C93" s="7" t="inlineStr">
        <is>
          <t>Master Bathroom</t>
        </is>
      </c>
      <c r="D93" s="7" t="inlineStr">
        <is>
          <t>Tub Filler Faucet</t>
        </is>
      </c>
      <c r="E93" s="7" t="n"/>
      <c r="F93" s="7" t="n"/>
      <c r="G93" s="7" t="n"/>
      <c r="H93" s="7" t="n"/>
      <c r="I93" s="8" t="n"/>
      <c r="J93" s="8" t="n"/>
      <c r="K93" s="8" t="n"/>
      <c r="L93" s="8" t="inlineStr">
        <is>
          <t>Not run</t>
        </is>
      </c>
      <c r="M93" s="8" t="n"/>
      <c r="N93" s="8" t="n"/>
      <c r="O93" s="7" t="n"/>
      <c r="P93" s="7" t="inlineStr">
        <is>
          <t>Yes</t>
        </is>
      </c>
      <c r="Q93" t="inlineStr">
        <is>
          <t>Proposed</t>
        </is>
      </c>
      <c r="R93" s="20" t="n"/>
      <c r="S93" s="39" t="n"/>
    </row>
    <row r="94">
      <c r="A94" s="7" t="inlineStr">
        <is>
          <t>UH-101</t>
        </is>
      </c>
      <c r="B94" s="7" t="inlineStr">
        <is>
          <t>1st Floor</t>
        </is>
      </c>
      <c r="C94" s="7" t="inlineStr">
        <is>
          <t>Master Bathroom</t>
        </is>
      </c>
      <c r="D94" s="7" t="inlineStr">
        <is>
          <t>Vanity Mirror</t>
        </is>
      </c>
      <c r="E94" s="7" t="n"/>
      <c r="F94" s="7" t="n"/>
      <c r="G94" s="7" t="n"/>
      <c r="H94" s="7" t="n"/>
      <c r="I94" s="8" t="n"/>
      <c r="J94" s="8" t="n"/>
      <c r="K94" s="8" t="n"/>
      <c r="L94" s="8" t="inlineStr">
        <is>
          <t>Not run</t>
        </is>
      </c>
      <c r="M94" s="8" t="n"/>
      <c r="N94" s="8" t="n"/>
      <c r="O94" s="7" t="n"/>
      <c r="P94" s="7" t="inlineStr">
        <is>
          <t>Yes</t>
        </is>
      </c>
      <c r="Q94" t="inlineStr">
        <is>
          <t>Proposed</t>
        </is>
      </c>
      <c r="R94" s="20" t="n"/>
      <c r="S94" s="39" t="n"/>
    </row>
    <row r="95">
      <c r="A95" s="7" t="inlineStr">
        <is>
          <t>UH-101</t>
        </is>
      </c>
      <c r="B95" s="7" t="inlineStr">
        <is>
          <t>1st Floor</t>
        </is>
      </c>
      <c r="C95" s="7" t="inlineStr">
        <is>
          <t>Master Bathroom</t>
        </is>
      </c>
      <c r="D95" s="7" t="inlineStr">
        <is>
          <t>Bathroom Sink</t>
        </is>
      </c>
      <c r="E95" s="7" t="n"/>
      <c r="F95" s="7" t="n"/>
      <c r="G95" s="7" t="n"/>
      <c r="H95" s="7" t="n"/>
      <c r="I95" s="8" t="n"/>
      <c r="J95" s="8" t="n"/>
      <c r="K95" s="8" t="n"/>
      <c r="L95" s="8" t="inlineStr">
        <is>
          <t>Not run</t>
        </is>
      </c>
      <c r="M95" s="8" t="n"/>
      <c r="N95" s="8" t="n"/>
      <c r="O95" s="7" t="n"/>
      <c r="P95" s="7" t="inlineStr">
        <is>
          <t>Yes</t>
        </is>
      </c>
      <c r="Q95" t="inlineStr">
        <is>
          <t>Proposed</t>
        </is>
      </c>
      <c r="R95" s="20" t="n"/>
      <c r="S95" s="39" t="n"/>
    </row>
    <row r="96">
      <c r="A96" s="7" t="inlineStr">
        <is>
          <t>UH-101</t>
        </is>
      </c>
      <c r="B96" s="7" t="inlineStr">
        <is>
          <t>1st Floor</t>
        </is>
      </c>
      <c r="C96" s="7" t="inlineStr">
        <is>
          <t>Master Bathroom</t>
        </is>
      </c>
      <c r="D96" s="7" t="inlineStr">
        <is>
          <t>Sink Faucet</t>
        </is>
      </c>
      <c r="E96" s="7" t="n"/>
      <c r="F96" s="7" t="n"/>
      <c r="G96" s="7" t="n"/>
      <c r="H96" s="7" t="n"/>
      <c r="I96" s="8" t="n"/>
      <c r="J96" s="8" t="n"/>
      <c r="K96" s="8" t="n"/>
      <c r="L96" s="8" t="inlineStr">
        <is>
          <t>Not run</t>
        </is>
      </c>
      <c r="M96" s="8" t="n"/>
      <c r="N96" s="8" t="n"/>
      <c r="O96" s="7" t="n"/>
      <c r="P96" s="7" t="inlineStr">
        <is>
          <t>Yes</t>
        </is>
      </c>
      <c r="Q96" t="inlineStr">
        <is>
          <t>Proposed</t>
        </is>
      </c>
      <c r="R96" s="20" t="n"/>
      <c r="S96" s="39" t="n"/>
    </row>
    <row r="97">
      <c r="A97" s="7" t="inlineStr">
        <is>
          <t>UH-101</t>
        </is>
      </c>
      <c r="B97" s="7" t="inlineStr">
        <is>
          <t>1st Floor</t>
        </is>
      </c>
      <c r="C97" s="7" t="inlineStr">
        <is>
          <t>Master Bathroom</t>
        </is>
      </c>
      <c r="D97" s="7" t="inlineStr">
        <is>
          <t>Towel Ring</t>
        </is>
      </c>
      <c r="E97" s="7" t="n"/>
      <c r="F97" s="7" t="n"/>
      <c r="G97" s="7" t="n"/>
      <c r="H97" s="7" t="n"/>
      <c r="I97" s="8" t="n"/>
      <c r="J97" s="8" t="n"/>
      <c r="K97" s="8" t="n"/>
      <c r="L97" s="8" t="inlineStr">
        <is>
          <t>Not run</t>
        </is>
      </c>
      <c r="M97" s="8" t="n"/>
      <c r="N97" s="8" t="n"/>
      <c r="O97" s="7" t="n"/>
      <c r="P97" s="7" t="inlineStr">
        <is>
          <t>Yes</t>
        </is>
      </c>
      <c r="Q97" t="inlineStr">
        <is>
          <t>Proposed</t>
        </is>
      </c>
      <c r="R97" s="20" t="n"/>
      <c r="S97" s="39" t="n"/>
    </row>
    <row r="98">
      <c r="A98" s="7" t="inlineStr">
        <is>
          <t>UH-101</t>
        </is>
      </c>
      <c r="B98" s="7" t="inlineStr">
        <is>
          <t>1st Floor</t>
        </is>
      </c>
      <c r="C98" s="7" t="inlineStr">
        <is>
          <t>Master Bathroom</t>
        </is>
      </c>
      <c r="D98" s="7" t="inlineStr">
        <is>
          <t>Towel Bar 24"</t>
        </is>
      </c>
      <c r="E98" s="7" t="n"/>
      <c r="F98" s="7" t="n"/>
      <c r="G98" s="7" t="n"/>
      <c r="H98" s="7" t="n"/>
      <c r="I98" s="8" t="n"/>
      <c r="J98" s="8" t="n"/>
      <c r="K98" s="8" t="n"/>
      <c r="L98" s="8" t="inlineStr">
        <is>
          <t>Not run</t>
        </is>
      </c>
      <c r="M98" s="8" t="n"/>
      <c r="N98" s="8" t="n"/>
      <c r="O98" s="7" t="n"/>
      <c r="P98" s="7" t="inlineStr">
        <is>
          <t>Yes</t>
        </is>
      </c>
      <c r="Q98" t="inlineStr">
        <is>
          <t>Proposed</t>
        </is>
      </c>
      <c r="R98" s="20" t="n"/>
      <c r="S98" s="39" t="n"/>
    </row>
    <row r="99">
      <c r="A99" s="7" t="inlineStr">
        <is>
          <t>UH-101</t>
        </is>
      </c>
      <c r="B99" s="7" t="inlineStr">
        <is>
          <t>1st Floor</t>
        </is>
      </c>
      <c r="C99" s="7" t="inlineStr">
        <is>
          <t>Master Bathroom</t>
        </is>
      </c>
      <c r="D99" s="7" t="inlineStr">
        <is>
          <t>Flush Toilet</t>
        </is>
      </c>
      <c r="E99" s="7" t="n"/>
      <c r="F99" s="7" t="n"/>
      <c r="G99" s="7" t="n"/>
      <c r="H99" s="7" t="n"/>
      <c r="I99" s="8" t="n"/>
      <c r="J99" s="8" t="n"/>
      <c r="K99" s="8" t="n"/>
      <c r="L99" s="8" t="inlineStr">
        <is>
          <t>Not run</t>
        </is>
      </c>
      <c r="M99" s="8" t="n"/>
      <c r="N99" s="8" t="n"/>
      <c r="O99" s="7" t="n"/>
      <c r="P99" s="7" t="inlineStr">
        <is>
          <t>Yes</t>
        </is>
      </c>
      <c r="Q99" t="inlineStr">
        <is>
          <t>Proposed</t>
        </is>
      </c>
      <c r="R99" s="20" t="n"/>
      <c r="S99" s="39" t="n"/>
    </row>
    <row r="100">
      <c r="A100" s="7" t="inlineStr">
        <is>
          <t>UH-101</t>
        </is>
      </c>
      <c r="B100" s="7" t="inlineStr">
        <is>
          <t>1st Floor</t>
        </is>
      </c>
      <c r="C100" s="7" t="inlineStr">
        <is>
          <t>Master Bathroom</t>
        </is>
      </c>
      <c r="D100" s="7" t="inlineStr">
        <is>
          <t>Toilet Paper Holder</t>
        </is>
      </c>
      <c r="E100" s="7" t="n"/>
      <c r="F100" s="7" t="n"/>
      <c r="G100" s="7" t="n"/>
      <c r="H100" s="7" t="n"/>
      <c r="I100" s="8" t="n"/>
      <c r="J100" s="8" t="n"/>
      <c r="K100" s="8" t="n"/>
      <c r="L100" s="8" t="inlineStr">
        <is>
          <t>Not run</t>
        </is>
      </c>
      <c r="M100" s="8" t="n"/>
      <c r="N100" s="8" t="n"/>
      <c r="O100" s="7" t="n"/>
      <c r="P100" s="7" t="inlineStr">
        <is>
          <t>Yes</t>
        </is>
      </c>
      <c r="Q100" t="inlineStr">
        <is>
          <t>Proposed</t>
        </is>
      </c>
      <c r="R100" s="20" t="n"/>
      <c r="S100" s="39" t="n"/>
    </row>
    <row r="101">
      <c r="A101" s="7" t="inlineStr">
        <is>
          <t>UH-101</t>
        </is>
      </c>
      <c r="B101" s="7" t="inlineStr">
        <is>
          <t>1st Floor</t>
        </is>
      </c>
      <c r="C101" s="7" t="inlineStr">
        <is>
          <t>Master Bathroom</t>
        </is>
      </c>
      <c r="D101" s="7" t="inlineStr">
        <is>
          <t>Toilet Lever</t>
        </is>
      </c>
      <c r="E101" s="7" t="n"/>
      <c r="F101" s="7" t="n"/>
      <c r="G101" s="7" t="n"/>
      <c r="H101" s="7" t="n"/>
      <c r="I101" s="8" t="n"/>
      <c r="J101" s="8" t="n"/>
      <c r="K101" s="8" t="n"/>
      <c r="L101" s="8" t="inlineStr">
        <is>
          <t>Not run</t>
        </is>
      </c>
      <c r="M101" s="8" t="n"/>
      <c r="N101" s="8" t="n"/>
      <c r="O101" s="7" t="n"/>
      <c r="P101" s="7" t="inlineStr">
        <is>
          <t>Yes</t>
        </is>
      </c>
      <c r="Q101" t="inlineStr">
        <is>
          <t>Proposed</t>
        </is>
      </c>
      <c r="R101" s="20" t="n"/>
      <c r="S101" s="39" t="n"/>
    </row>
    <row r="102">
      <c r="A102" s="7" t="inlineStr">
        <is>
          <t>UH-101</t>
        </is>
      </c>
      <c r="B102" s="7" t="inlineStr">
        <is>
          <t>1st Floor</t>
        </is>
      </c>
      <c r="C102" s="7" t="inlineStr">
        <is>
          <t>Master Bathroom</t>
        </is>
      </c>
      <c r="D102" s="7" t="inlineStr">
        <is>
          <t>Exhaust Fan</t>
        </is>
      </c>
      <c r="E102" s="7" t="n"/>
      <c r="F102" s="7" t="n"/>
      <c r="G102" s="7" t="n"/>
      <c r="H102" s="7" t="n"/>
      <c r="I102" s="8" t="n"/>
      <c r="J102" s="8" t="n"/>
      <c r="K102" s="8" t="n"/>
      <c r="L102" s="8" t="inlineStr">
        <is>
          <t>Not run</t>
        </is>
      </c>
      <c r="M102" s="8" t="n"/>
      <c r="N102" s="8" t="n"/>
      <c r="O102" s="7" t="n"/>
      <c r="P102" s="7" t="inlineStr">
        <is>
          <t>Yes</t>
        </is>
      </c>
      <c r="Q102" t="inlineStr">
        <is>
          <t>Proposed</t>
        </is>
      </c>
      <c r="R102" s="20" t="n"/>
      <c r="S102" s="39" t="n"/>
    </row>
    <row r="103">
      <c r="A103" s="7" t="inlineStr">
        <is>
          <t>UH-101</t>
        </is>
      </c>
      <c r="B103" s="7" t="inlineStr">
        <is>
          <t>1st Floor</t>
        </is>
      </c>
      <c r="C103" s="7" t="inlineStr">
        <is>
          <t>Master Bathroom</t>
        </is>
      </c>
      <c r="D103" s="7" t="inlineStr">
        <is>
          <t>Light Fixture</t>
        </is>
      </c>
      <c r="E103" s="7" t="n"/>
      <c r="F103" s="7" t="n"/>
      <c r="G103" s="7" t="n"/>
      <c r="H103" s="7" t="n"/>
      <c r="I103" s="8" t="n"/>
      <c r="J103" s="8" t="n"/>
      <c r="K103" s="8" t="n"/>
      <c r="L103" s="8" t="inlineStr">
        <is>
          <t>Not run</t>
        </is>
      </c>
      <c r="M103" s="8" t="n"/>
      <c r="N103" s="8" t="n"/>
      <c r="O103" s="7" t="n"/>
      <c r="P103" s="7" t="inlineStr">
        <is>
          <t>Yes</t>
        </is>
      </c>
      <c r="Q103" t="inlineStr">
        <is>
          <t>Proposed</t>
        </is>
      </c>
      <c r="R103" s="20" t="n"/>
      <c r="S103" s="39" t="n"/>
    </row>
    <row r="104">
      <c r="A104" s="7" t="inlineStr">
        <is>
          <t>UH-101</t>
        </is>
      </c>
      <c r="B104" s="7" t="inlineStr">
        <is>
          <t>1st Floor</t>
        </is>
      </c>
      <c r="C104" s="7" t="inlineStr">
        <is>
          <t>Master Bathroom</t>
        </is>
      </c>
      <c r="D104" s="7" t="inlineStr">
        <is>
          <t>Interior Door</t>
        </is>
      </c>
      <c r="E104" s="7" t="n"/>
      <c r="F104" s="7" t="n"/>
      <c r="G104" s="7" t="n"/>
      <c r="H104" s="7" t="n"/>
      <c r="I104" s="8" t="n"/>
      <c r="J104" s="8" t="n"/>
      <c r="K104" s="8" t="n"/>
      <c r="L104" s="8" t="inlineStr">
        <is>
          <t>Not run</t>
        </is>
      </c>
      <c r="M104" s="8" t="n"/>
      <c r="N104" s="8" t="n"/>
      <c r="O104" s="7" t="n"/>
      <c r="P104" s="7" t="inlineStr">
        <is>
          <t>Yes</t>
        </is>
      </c>
      <c r="Q104" t="inlineStr">
        <is>
          <t>Proposed</t>
        </is>
      </c>
      <c r="R104" s="20" t="n"/>
      <c r="S104" s="39" t="n"/>
    </row>
    <row r="105">
      <c r="A105" s="7" t="inlineStr">
        <is>
          <t>UH-101</t>
        </is>
      </c>
      <c r="B105" s="7" t="inlineStr">
        <is>
          <t>1st Floor</t>
        </is>
      </c>
      <c r="C105" s="7" t="inlineStr">
        <is>
          <t>Master Bathroom</t>
        </is>
      </c>
      <c r="D105" s="7" t="inlineStr">
        <is>
          <t>Door Stopper</t>
        </is>
      </c>
      <c r="E105" s="7" t="n"/>
      <c r="F105" s="7" t="n"/>
      <c r="G105" s="7" t="n"/>
      <c r="H105" s="7" t="n"/>
      <c r="I105" s="8" t="n"/>
      <c r="J105" s="8" t="n"/>
      <c r="K105" s="8" t="n"/>
      <c r="L105" s="8" t="inlineStr">
        <is>
          <t>Not run</t>
        </is>
      </c>
      <c r="M105" s="8" t="n"/>
      <c r="N105" s="8" t="n"/>
      <c r="O105" s="7" t="n"/>
      <c r="P105" s="7" t="inlineStr">
        <is>
          <t>Yes</t>
        </is>
      </c>
      <c r="Q105" t="inlineStr">
        <is>
          <t>Proposed</t>
        </is>
      </c>
      <c r="R105" s="20" t="n"/>
      <c r="S105" s="39" t="n"/>
    </row>
    <row r="106">
      <c r="A106" s="7" t="inlineStr">
        <is>
          <t>UH-101</t>
        </is>
      </c>
      <c r="B106" s="7" t="inlineStr">
        <is>
          <t>1st Floor</t>
        </is>
      </c>
      <c r="C106" s="7" t="inlineStr">
        <is>
          <t>Laundry Room</t>
        </is>
      </c>
      <c r="D106" s="7" t="inlineStr">
        <is>
          <t>Flooring</t>
        </is>
      </c>
      <c r="E106" s="7" t="n"/>
      <c r="F106" s="7" t="n"/>
      <c r="G106" s="7" t="n"/>
      <c r="H106" s="7" t="n"/>
      <c r="I106" s="8" t="n"/>
      <c r="J106" s="8" t="n"/>
      <c r="K106" s="8" t="n"/>
      <c r="L106" s="8" t="inlineStr">
        <is>
          <t>Not run</t>
        </is>
      </c>
      <c r="M106" s="8" t="n"/>
      <c r="N106" s="8" t="n"/>
      <c r="O106" s="7" t="n"/>
      <c r="P106" s="7" t="inlineStr">
        <is>
          <t>Yes</t>
        </is>
      </c>
      <c r="Q106" t="inlineStr">
        <is>
          <t>Proposed</t>
        </is>
      </c>
      <c r="R106" s="20" t="n"/>
      <c r="S106" s="39" t="n"/>
    </row>
    <row r="107">
      <c r="A107" s="7" t="inlineStr">
        <is>
          <t>UH-101</t>
        </is>
      </c>
      <c r="B107" s="7" t="inlineStr">
        <is>
          <t>1st Floor</t>
        </is>
      </c>
      <c r="C107" s="7" t="inlineStr">
        <is>
          <t>Laundry Room</t>
        </is>
      </c>
      <c r="D107" s="7" t="inlineStr">
        <is>
          <t>Mud Bench</t>
        </is>
      </c>
      <c r="E107" s="7" t="n"/>
      <c r="F107" s="7" t="n"/>
      <c r="G107" s="7" t="n"/>
      <c r="H107" s="7" t="n"/>
      <c r="I107" s="8" t="n"/>
      <c r="J107" s="8" t="n"/>
      <c r="K107" s="8" t="n"/>
      <c r="L107" s="8" t="inlineStr">
        <is>
          <t>Not run</t>
        </is>
      </c>
      <c r="M107" s="8" t="n"/>
      <c r="N107" s="8" t="n"/>
      <c r="O107" s="7" t="n"/>
      <c r="P107" s="7" t="inlineStr">
        <is>
          <t>Yes</t>
        </is>
      </c>
      <c r="Q107" t="inlineStr">
        <is>
          <t>Proposed</t>
        </is>
      </c>
      <c r="R107" s="20" t="n"/>
      <c r="S107" s="39" t="n"/>
    </row>
    <row r="108">
      <c r="A108" s="7" t="inlineStr">
        <is>
          <t>UH-101</t>
        </is>
      </c>
      <c r="B108" s="7" t="inlineStr">
        <is>
          <t>1st Floor</t>
        </is>
      </c>
      <c r="C108" s="7" t="inlineStr">
        <is>
          <t>Laundry Room</t>
        </is>
      </c>
      <c r="D108" s="7" t="inlineStr">
        <is>
          <t>Counter top</t>
        </is>
      </c>
      <c r="E108" s="7" t="n"/>
      <c r="F108" s="7" t="n"/>
      <c r="G108" s="7" t="n"/>
      <c r="H108" s="7" t="n"/>
      <c r="I108" s="8" t="n"/>
      <c r="J108" s="8" t="n"/>
      <c r="K108" s="8" t="n"/>
      <c r="L108" s="8" t="inlineStr">
        <is>
          <t>Not run</t>
        </is>
      </c>
      <c r="M108" s="8" t="n"/>
      <c r="N108" s="8" t="n"/>
      <c r="O108" s="7" t="n"/>
      <c r="P108" s="7" t="inlineStr">
        <is>
          <t>Yes</t>
        </is>
      </c>
      <c r="Q108" t="inlineStr">
        <is>
          <t>Proposed</t>
        </is>
      </c>
      <c r="R108" s="20" t="n"/>
      <c r="S108" s="39" t="n"/>
    </row>
    <row r="109">
      <c r="A109" s="7" t="inlineStr">
        <is>
          <t>UH-101</t>
        </is>
      </c>
      <c r="B109" s="7" t="inlineStr">
        <is>
          <t>1st Floor</t>
        </is>
      </c>
      <c r="C109" s="7" t="inlineStr">
        <is>
          <t>Laundry Room</t>
        </is>
      </c>
      <c r="D109" s="7" t="inlineStr">
        <is>
          <t>Laundry Sink</t>
        </is>
      </c>
      <c r="E109" s="7" t="n"/>
      <c r="F109" s="7" t="n"/>
      <c r="G109" s="7" t="n"/>
      <c r="H109" s="7" t="n"/>
      <c r="I109" s="8" t="n"/>
      <c r="J109" s="8" t="n"/>
      <c r="K109" s="8" t="n"/>
      <c r="L109" s="8" t="inlineStr">
        <is>
          <t>Not run</t>
        </is>
      </c>
      <c r="M109" s="8" t="n"/>
      <c r="N109" s="8" t="n"/>
      <c r="O109" s="7" t="n"/>
      <c r="P109" s="7" t="inlineStr">
        <is>
          <t>Yes</t>
        </is>
      </c>
      <c r="Q109" t="inlineStr">
        <is>
          <t>Proposed</t>
        </is>
      </c>
      <c r="R109" s="20" t="n"/>
      <c r="S109" s="39" t="n"/>
    </row>
    <row r="110">
      <c r="A110" s="7" t="inlineStr">
        <is>
          <t>UH-101</t>
        </is>
      </c>
      <c r="B110" s="7" t="inlineStr">
        <is>
          <t>1st Floor</t>
        </is>
      </c>
      <c r="C110" s="7" t="inlineStr">
        <is>
          <t>Laundry Room</t>
        </is>
      </c>
      <c r="D110" s="7" t="inlineStr">
        <is>
          <t>Laundry Faucet</t>
        </is>
      </c>
      <c r="E110" s="7" t="n"/>
      <c r="F110" s="7" t="n"/>
      <c r="G110" s="7" t="n"/>
      <c r="H110" s="7" t="n"/>
      <c r="I110" s="8" t="n"/>
      <c r="J110" s="8" t="n"/>
      <c r="K110" s="8" t="n"/>
      <c r="L110" s="8" t="inlineStr">
        <is>
          <t>Not run</t>
        </is>
      </c>
      <c r="M110" s="8" t="n"/>
      <c r="N110" s="8" t="n"/>
      <c r="O110" s="7" t="n"/>
      <c r="P110" s="7" t="inlineStr">
        <is>
          <t>Yes</t>
        </is>
      </c>
      <c r="Q110" t="inlineStr">
        <is>
          <t>Proposed</t>
        </is>
      </c>
      <c r="R110" s="20" t="n"/>
      <c r="S110" s="39" t="n"/>
    </row>
    <row r="111">
      <c r="A111" s="7" t="inlineStr">
        <is>
          <t>UH-101</t>
        </is>
      </c>
      <c r="B111" s="7" t="inlineStr">
        <is>
          <t>1st Floor</t>
        </is>
      </c>
      <c r="C111" s="7" t="inlineStr">
        <is>
          <t>Laundry Room</t>
        </is>
      </c>
      <c r="D111" s="7" t="inlineStr">
        <is>
          <t>Exhaust Fan</t>
        </is>
      </c>
      <c r="E111" s="7" t="n"/>
      <c r="F111" s="7" t="n"/>
      <c r="G111" s="7" t="n"/>
      <c r="H111" s="7" t="n"/>
      <c r="I111" s="8" t="n"/>
      <c r="J111" s="8" t="n"/>
      <c r="K111" s="8" t="n"/>
      <c r="L111" s="8" t="inlineStr">
        <is>
          <t>Not run</t>
        </is>
      </c>
      <c r="M111" s="8" t="n"/>
      <c r="N111" s="8" t="n"/>
      <c r="O111" s="7" t="n"/>
      <c r="P111" s="7" t="inlineStr">
        <is>
          <t>Yes</t>
        </is>
      </c>
      <c r="Q111" t="inlineStr">
        <is>
          <t>Proposed</t>
        </is>
      </c>
      <c r="R111" s="20" t="n"/>
      <c r="S111" s="39" t="n"/>
    </row>
    <row r="112">
      <c r="A112" s="7" t="inlineStr">
        <is>
          <t>UH-101</t>
        </is>
      </c>
      <c r="B112" s="7" t="inlineStr">
        <is>
          <t>1st Floor</t>
        </is>
      </c>
      <c r="C112" s="7" t="inlineStr">
        <is>
          <t>Laundry Room</t>
        </is>
      </c>
      <c r="D112" s="7" t="inlineStr">
        <is>
          <t>Interior Door</t>
        </is>
      </c>
      <c r="E112" s="7" t="n"/>
      <c r="F112" s="7" t="n"/>
      <c r="G112" s="7" t="n"/>
      <c r="H112" s="7" t="n"/>
      <c r="I112" s="8" t="n"/>
      <c r="J112" s="8" t="n"/>
      <c r="K112" s="8" t="n"/>
      <c r="L112" s="8" t="inlineStr">
        <is>
          <t>Not run</t>
        </is>
      </c>
      <c r="M112" s="8" t="n"/>
      <c r="N112" s="8" t="n"/>
      <c r="O112" s="7" t="n"/>
      <c r="P112" s="7" t="inlineStr">
        <is>
          <t>Yes</t>
        </is>
      </c>
      <c r="Q112" t="inlineStr">
        <is>
          <t>Proposed</t>
        </is>
      </c>
      <c r="R112" s="20" t="n"/>
      <c r="S112" s="39" t="n"/>
    </row>
    <row r="113">
      <c r="A113" s="7" t="inlineStr">
        <is>
          <t>UH-101</t>
        </is>
      </c>
      <c r="B113" s="7" t="inlineStr">
        <is>
          <t>1st Floor</t>
        </is>
      </c>
      <c r="C113" s="7" t="inlineStr">
        <is>
          <t>Laundry Room</t>
        </is>
      </c>
      <c r="D113" s="7" t="inlineStr">
        <is>
          <t>Door Stopper</t>
        </is>
      </c>
      <c r="E113" s="7" t="n"/>
      <c r="F113" s="7" t="n"/>
      <c r="G113" s="7" t="n"/>
      <c r="H113" s="7" t="n"/>
      <c r="I113" s="8" t="n"/>
      <c r="J113" s="8" t="n"/>
      <c r="K113" s="8" t="n"/>
      <c r="L113" s="8" t="inlineStr">
        <is>
          <t>Not run</t>
        </is>
      </c>
      <c r="M113" s="8" t="n"/>
      <c r="N113" s="8" t="n"/>
      <c r="O113" s="7" t="n"/>
      <c r="P113" s="7" t="inlineStr">
        <is>
          <t>Yes</t>
        </is>
      </c>
      <c r="Q113" t="inlineStr">
        <is>
          <t>Proposed</t>
        </is>
      </c>
      <c r="R113" s="20" t="n"/>
      <c r="S113" s="39" t="n"/>
    </row>
    <row r="114">
      <c r="A114" s="7" t="inlineStr">
        <is>
          <t>UH-101</t>
        </is>
      </c>
      <c r="B114" s="7" t="inlineStr">
        <is>
          <t>1st Floor</t>
        </is>
      </c>
      <c r="C114" s="7" t="inlineStr">
        <is>
          <t>Guest Bedroom</t>
        </is>
      </c>
      <c r="D114" s="7" t="inlineStr">
        <is>
          <t>Flooring</t>
        </is>
      </c>
      <c r="E114" s="7" t="n"/>
      <c r="F114" s="7" t="n"/>
      <c r="G114" s="7" t="n"/>
      <c r="H114" s="7" t="n"/>
      <c r="I114" s="8" t="n"/>
      <c r="J114" s="8" t="n"/>
      <c r="K114" s="8" t="n"/>
      <c r="L114" s="8" t="inlineStr">
        <is>
          <t>Not run</t>
        </is>
      </c>
      <c r="M114" s="8" t="n"/>
      <c r="N114" s="8" t="n"/>
      <c r="O114" s="7" t="n"/>
      <c r="P114" s="7" t="inlineStr">
        <is>
          <t>Yes</t>
        </is>
      </c>
      <c r="Q114" t="inlineStr">
        <is>
          <t>Proposed</t>
        </is>
      </c>
      <c r="R114" s="20" t="n"/>
      <c r="S114" s="39" t="n"/>
    </row>
    <row r="115">
      <c r="A115" s="7" t="inlineStr">
        <is>
          <t>UH-101</t>
        </is>
      </c>
      <c r="B115" s="7" t="inlineStr">
        <is>
          <t>1st Floor</t>
        </is>
      </c>
      <c r="C115" s="7" t="inlineStr">
        <is>
          <t>Guest Bedroom</t>
        </is>
      </c>
      <c r="D115" s="7" t="inlineStr">
        <is>
          <t>Light Fixture - Fan</t>
        </is>
      </c>
      <c r="E115" s="7" t="n"/>
      <c r="F115" s="7" t="n"/>
      <c r="G115" s="7" t="n"/>
      <c r="H115" s="7" t="n"/>
      <c r="I115" s="8" t="n"/>
      <c r="J115" s="8" t="n"/>
      <c r="K115" s="8" t="n"/>
      <c r="L115" s="8" t="inlineStr">
        <is>
          <t>Not run</t>
        </is>
      </c>
      <c r="M115" s="8" t="n"/>
      <c r="N115" s="8" t="n"/>
      <c r="O115" s="7" t="n"/>
      <c r="P115" s="7" t="inlineStr">
        <is>
          <t>Yes</t>
        </is>
      </c>
      <c r="Q115" t="inlineStr">
        <is>
          <t>Proposed</t>
        </is>
      </c>
      <c r="R115" s="20" t="n"/>
      <c r="S115" s="39" t="n"/>
    </row>
    <row r="116">
      <c r="A116" s="7" t="inlineStr">
        <is>
          <t>UH-101</t>
        </is>
      </c>
      <c r="B116" s="7" t="inlineStr">
        <is>
          <t>1st Floor</t>
        </is>
      </c>
      <c r="C116" s="7" t="inlineStr">
        <is>
          <t>Guest Bedroom</t>
        </is>
      </c>
      <c r="D116" s="7" t="inlineStr">
        <is>
          <t>Interior Door</t>
        </is>
      </c>
      <c r="E116" s="7" t="n"/>
      <c r="F116" s="7" t="n"/>
      <c r="G116" s="7" t="n"/>
      <c r="H116" s="7" t="n"/>
      <c r="I116" s="8" t="n"/>
      <c r="J116" s="8" t="n"/>
      <c r="K116" s="8" t="n"/>
      <c r="L116" s="8" t="inlineStr">
        <is>
          <t>Not run</t>
        </is>
      </c>
      <c r="M116" s="8" t="n"/>
      <c r="N116" s="8" t="n"/>
      <c r="O116" s="7" t="n"/>
      <c r="P116" s="7" t="inlineStr">
        <is>
          <t>Yes</t>
        </is>
      </c>
      <c r="Q116" t="inlineStr">
        <is>
          <t>Proposed</t>
        </is>
      </c>
      <c r="R116" s="20" t="n"/>
      <c r="S116" s="39" t="n"/>
    </row>
    <row r="117">
      <c r="A117" s="7" t="inlineStr">
        <is>
          <t>UH-101</t>
        </is>
      </c>
      <c r="B117" s="7" t="inlineStr">
        <is>
          <t>1st Floor</t>
        </is>
      </c>
      <c r="C117" s="7" t="inlineStr">
        <is>
          <t>Guest Bedroom</t>
        </is>
      </c>
      <c r="D117" s="7" t="inlineStr">
        <is>
          <t>Door Stopper</t>
        </is>
      </c>
      <c r="E117" s="7" t="n"/>
      <c r="F117" s="7" t="n"/>
      <c r="G117" s="7" t="n"/>
      <c r="H117" s="7" t="n"/>
      <c r="I117" s="8" t="n"/>
      <c r="J117" s="8" t="n"/>
      <c r="K117" s="8" t="n"/>
      <c r="L117" s="8" t="inlineStr">
        <is>
          <t>Not run</t>
        </is>
      </c>
      <c r="M117" s="8" t="n"/>
      <c r="N117" s="8" t="n"/>
      <c r="O117" s="7" t="n"/>
      <c r="P117" s="7" t="inlineStr">
        <is>
          <t>Yes</t>
        </is>
      </c>
      <c r="Q117" t="inlineStr">
        <is>
          <t>Proposed</t>
        </is>
      </c>
      <c r="R117" s="20" t="n"/>
      <c r="S117" s="39" t="n"/>
    </row>
    <row r="118">
      <c r="A118" s="7" t="inlineStr">
        <is>
          <t>UH-101</t>
        </is>
      </c>
      <c r="B118" s="7" t="inlineStr">
        <is>
          <t>1st Floor</t>
        </is>
      </c>
      <c r="C118" s="7" t="inlineStr">
        <is>
          <t>Guest Bathroom</t>
        </is>
      </c>
      <c r="D118" s="7" t="inlineStr">
        <is>
          <t>Flooring - Bath</t>
        </is>
      </c>
      <c r="E118" s="7" t="n"/>
      <c r="F118" s="7" t="n"/>
      <c r="G118" s="7" t="n"/>
      <c r="H118" s="7" t="n"/>
      <c r="I118" s="8" t="n"/>
      <c r="J118" s="8" t="n"/>
      <c r="K118" s="8" t="n"/>
      <c r="L118" s="8" t="inlineStr">
        <is>
          <t>Not run</t>
        </is>
      </c>
      <c r="M118" s="8" t="n"/>
      <c r="N118" s="8" t="n"/>
      <c r="O118" s="7" t="n"/>
      <c r="P118" s="7" t="inlineStr">
        <is>
          <t>Yes</t>
        </is>
      </c>
      <c r="Q118" t="inlineStr">
        <is>
          <t>Proposed</t>
        </is>
      </c>
      <c r="R118" s="20" t="n"/>
      <c r="S118" s="39" t="n"/>
    </row>
    <row r="119">
      <c r="A119" s="7" t="inlineStr">
        <is>
          <t>UH-101</t>
        </is>
      </c>
      <c r="B119" s="7" t="inlineStr">
        <is>
          <t>1st Floor</t>
        </is>
      </c>
      <c r="C119" s="7" t="inlineStr">
        <is>
          <t>Guest Bathroom</t>
        </is>
      </c>
      <c r="D119" s="7" t="inlineStr">
        <is>
          <t>Flooring - Shower Floor</t>
        </is>
      </c>
      <c r="E119" s="7" t="n"/>
      <c r="F119" s="7" t="n"/>
      <c r="G119" s="7" t="n"/>
      <c r="H119" s="7" t="n"/>
      <c r="I119" s="8" t="n"/>
      <c r="J119" s="8" t="n"/>
      <c r="K119" s="8" t="n"/>
      <c r="L119" s="8" t="inlineStr">
        <is>
          <t>Not run</t>
        </is>
      </c>
      <c r="M119" s="8" t="n"/>
      <c r="N119" s="8" t="n"/>
      <c r="O119" s="7" t="n"/>
      <c r="P119" s="7" t="inlineStr">
        <is>
          <t>Yes</t>
        </is>
      </c>
      <c r="Q119" t="inlineStr">
        <is>
          <t>Proposed</t>
        </is>
      </c>
      <c r="R119" s="20" t="n"/>
      <c r="S119" s="39" t="n"/>
    </row>
    <row r="120">
      <c r="A120" s="7" t="inlineStr">
        <is>
          <t>UH-101</t>
        </is>
      </c>
      <c r="B120" s="7" t="inlineStr">
        <is>
          <t>1st Floor</t>
        </is>
      </c>
      <c r="C120" s="7" t="inlineStr">
        <is>
          <t>Guest Bathroom</t>
        </is>
      </c>
      <c r="D120" s="7" t="inlineStr">
        <is>
          <t>Backsplash - Shower</t>
        </is>
      </c>
      <c r="E120" s="7" t="n"/>
      <c r="F120" s="7" t="n"/>
      <c r="G120" s="7" t="n"/>
      <c r="H120" s="7" t="n"/>
      <c r="I120" s="8" t="n"/>
      <c r="J120" s="8" t="n"/>
      <c r="K120" s="8" t="n"/>
      <c r="L120" s="8" t="inlineStr">
        <is>
          <t>Not run</t>
        </is>
      </c>
      <c r="M120" s="8" t="n"/>
      <c r="N120" s="8" t="n"/>
      <c r="O120" s="7" t="n"/>
      <c r="P120" s="7" t="inlineStr">
        <is>
          <t>Yes</t>
        </is>
      </c>
      <c r="Q120" t="inlineStr">
        <is>
          <t>Proposed</t>
        </is>
      </c>
      <c r="R120" s="20" t="n"/>
      <c r="S120" s="39" t="n"/>
    </row>
    <row r="121">
      <c r="A121" s="7" t="inlineStr">
        <is>
          <t>UH-101</t>
        </is>
      </c>
      <c r="B121" s="7" t="inlineStr">
        <is>
          <t>1st Floor</t>
        </is>
      </c>
      <c r="C121" s="7" t="inlineStr">
        <is>
          <t>Guest Bathroom</t>
        </is>
      </c>
      <c r="D121" s="7" t="inlineStr">
        <is>
          <t>Counter top</t>
        </is>
      </c>
      <c r="E121" s="7" t="n"/>
      <c r="F121" s="7" t="n"/>
      <c r="G121" s="7" t="n"/>
      <c r="H121" s="7" t="n"/>
      <c r="I121" s="8" t="n"/>
      <c r="J121" s="8" t="n"/>
      <c r="K121" s="8" t="n"/>
      <c r="L121" s="8" t="inlineStr">
        <is>
          <t>Not run</t>
        </is>
      </c>
      <c r="M121" s="8" t="n"/>
      <c r="N121" s="8" t="n"/>
      <c r="O121" s="7" t="n"/>
      <c r="P121" s="7" t="inlineStr">
        <is>
          <t>Yes</t>
        </is>
      </c>
      <c r="Q121" t="inlineStr">
        <is>
          <t>Proposed</t>
        </is>
      </c>
      <c r="R121" s="20" t="n"/>
      <c r="S121" s="39" t="n"/>
    </row>
    <row r="122">
      <c r="A122" s="7" t="inlineStr">
        <is>
          <t>UH-101</t>
        </is>
      </c>
      <c r="B122" s="7" t="inlineStr">
        <is>
          <t>1st Floor</t>
        </is>
      </c>
      <c r="C122" s="7" t="inlineStr">
        <is>
          <t>Guest Bathroom</t>
        </is>
      </c>
      <c r="D122" s="7" t="inlineStr">
        <is>
          <t>Shower Glass</t>
        </is>
      </c>
      <c r="E122" s="7" t="n"/>
      <c r="F122" s="7" t="n"/>
      <c r="G122" s="7" t="n"/>
      <c r="H122" s="7" t="n"/>
      <c r="I122" s="8" t="n"/>
      <c r="J122" s="8" t="n"/>
      <c r="K122" s="8" t="n"/>
      <c r="L122" s="8" t="inlineStr">
        <is>
          <t>Not run</t>
        </is>
      </c>
      <c r="M122" s="8" t="n"/>
      <c r="N122" s="8" t="n"/>
      <c r="O122" s="7" t="n"/>
      <c r="P122" s="7" t="inlineStr">
        <is>
          <t>Yes</t>
        </is>
      </c>
      <c r="Q122" t="inlineStr">
        <is>
          <t>Proposed</t>
        </is>
      </c>
      <c r="R122" s="20" t="n"/>
      <c r="S122" s="39" t="n"/>
    </row>
    <row r="123">
      <c r="A123" s="7" t="inlineStr">
        <is>
          <t>UH-101</t>
        </is>
      </c>
      <c r="B123" s="7" t="inlineStr">
        <is>
          <t>1st Floor</t>
        </is>
      </c>
      <c r="C123" s="7" t="inlineStr">
        <is>
          <t>Guest Bathroom</t>
        </is>
      </c>
      <c r="D123" s="7" t="inlineStr">
        <is>
          <t>Shower Head &amp; Valve</t>
        </is>
      </c>
      <c r="E123" s="7" t="n"/>
      <c r="F123" s="7" t="n"/>
      <c r="G123" s="7" t="n"/>
      <c r="H123" s="7" t="n"/>
      <c r="I123" s="8" t="n"/>
      <c r="J123" s="8" t="n"/>
      <c r="K123" s="8" t="n"/>
      <c r="L123" s="8" t="inlineStr">
        <is>
          <t>Not run</t>
        </is>
      </c>
      <c r="M123" s="8" t="n"/>
      <c r="N123" s="8" t="n"/>
      <c r="O123" s="7" t="n"/>
      <c r="P123" s="7" t="inlineStr">
        <is>
          <t>Yes</t>
        </is>
      </c>
      <c r="Q123" t="inlineStr">
        <is>
          <t>Proposed</t>
        </is>
      </c>
      <c r="R123" s="20" t="n"/>
      <c r="S123" s="39" t="n"/>
    </row>
    <row r="124">
      <c r="A124" s="7" t="inlineStr">
        <is>
          <t>UH-101</t>
        </is>
      </c>
      <c r="B124" s="7" t="inlineStr">
        <is>
          <t>1st Floor</t>
        </is>
      </c>
      <c r="C124" s="7" t="inlineStr">
        <is>
          <t>Guest Bathroom</t>
        </is>
      </c>
      <c r="D124" s="7" t="inlineStr">
        <is>
          <t>Shower Drain</t>
        </is>
      </c>
      <c r="E124" s="7" t="n"/>
      <c r="F124" s="7" t="n"/>
      <c r="G124" s="7" t="n"/>
      <c r="H124" s="7" t="n"/>
      <c r="I124" s="8" t="n"/>
      <c r="J124" s="8" t="n"/>
      <c r="K124" s="8" t="n"/>
      <c r="L124" s="8" t="inlineStr">
        <is>
          <t>Not run</t>
        </is>
      </c>
      <c r="M124" s="8" t="n"/>
      <c r="N124" s="8" t="n"/>
      <c r="O124" s="7" t="n"/>
      <c r="P124" s="7" t="inlineStr">
        <is>
          <t>Yes</t>
        </is>
      </c>
      <c r="Q124" t="inlineStr">
        <is>
          <t>Proposed</t>
        </is>
      </c>
      <c r="R124" s="20" t="n"/>
      <c r="S124" s="39" t="n"/>
    </row>
    <row r="125">
      <c r="A125" s="7" t="inlineStr">
        <is>
          <t>UH-101</t>
        </is>
      </c>
      <c r="B125" s="7" t="inlineStr">
        <is>
          <t>1st Floor</t>
        </is>
      </c>
      <c r="C125" s="7" t="inlineStr">
        <is>
          <t>Guest Bathroom</t>
        </is>
      </c>
      <c r="D125" s="7" t="inlineStr">
        <is>
          <t>Vanity Mirror</t>
        </is>
      </c>
      <c r="E125" s="7" t="n"/>
      <c r="F125" s="7" t="n"/>
      <c r="G125" s="7" t="n"/>
      <c r="H125" s="7" t="n"/>
      <c r="I125" s="8" t="n"/>
      <c r="J125" s="8" t="n"/>
      <c r="K125" s="8" t="n"/>
      <c r="L125" s="8" t="inlineStr">
        <is>
          <t>Not run</t>
        </is>
      </c>
      <c r="M125" s="8" t="n"/>
      <c r="N125" s="8" t="n"/>
      <c r="O125" s="7" t="n"/>
      <c r="P125" s="7" t="inlineStr">
        <is>
          <t>Yes</t>
        </is>
      </c>
      <c r="Q125" t="inlineStr">
        <is>
          <t>Proposed</t>
        </is>
      </c>
      <c r="R125" s="20" t="n"/>
      <c r="S125" s="39" t="n"/>
    </row>
    <row r="126">
      <c r="A126" s="7" t="inlineStr">
        <is>
          <t>UH-101</t>
        </is>
      </c>
      <c r="B126" s="7" t="inlineStr">
        <is>
          <t>1st Floor</t>
        </is>
      </c>
      <c r="C126" s="7" t="inlineStr">
        <is>
          <t>Guest Bathroom</t>
        </is>
      </c>
      <c r="D126" s="7" t="inlineStr">
        <is>
          <t>Bathroom Sink</t>
        </is>
      </c>
      <c r="E126" s="7" t="n"/>
      <c r="F126" s="7" t="n"/>
      <c r="G126" s="7" t="n"/>
      <c r="H126" s="7" t="n"/>
      <c r="I126" s="8" t="n"/>
      <c r="J126" s="8" t="n"/>
      <c r="K126" s="8" t="n"/>
      <c r="L126" s="8" t="inlineStr">
        <is>
          <t>Not run</t>
        </is>
      </c>
      <c r="M126" s="8" t="n"/>
      <c r="N126" s="8" t="n"/>
      <c r="O126" s="7" t="n"/>
      <c r="P126" s="7" t="inlineStr">
        <is>
          <t>Yes</t>
        </is>
      </c>
      <c r="Q126" t="inlineStr">
        <is>
          <t>Proposed</t>
        </is>
      </c>
      <c r="R126" s="20" t="n"/>
      <c r="S126" s="39" t="n"/>
    </row>
    <row r="127">
      <c r="A127" s="7" t="inlineStr">
        <is>
          <t>UH-101</t>
        </is>
      </c>
      <c r="B127" s="7" t="inlineStr">
        <is>
          <t>1st Floor</t>
        </is>
      </c>
      <c r="C127" s="7" t="inlineStr">
        <is>
          <t>Guest Bathroom</t>
        </is>
      </c>
      <c r="D127" s="7" t="inlineStr">
        <is>
          <t>Sink Faucet</t>
        </is>
      </c>
      <c r="E127" s="7" t="n"/>
      <c r="F127" s="7" t="n"/>
      <c r="G127" s="7" t="n"/>
      <c r="H127" s="7" t="n"/>
      <c r="I127" s="8" t="n"/>
      <c r="J127" s="8" t="n"/>
      <c r="K127" s="8" t="n"/>
      <c r="L127" s="8" t="inlineStr">
        <is>
          <t>Not run</t>
        </is>
      </c>
      <c r="M127" s="8" t="n"/>
      <c r="N127" s="8" t="n"/>
      <c r="O127" s="7" t="n"/>
      <c r="P127" s="7" t="inlineStr">
        <is>
          <t>Yes</t>
        </is>
      </c>
      <c r="Q127" t="inlineStr">
        <is>
          <t>Proposed</t>
        </is>
      </c>
      <c r="R127" s="20" t="n"/>
      <c r="S127" s="39" t="n"/>
    </row>
    <row r="128">
      <c r="A128" s="7" t="inlineStr">
        <is>
          <t>UH-101</t>
        </is>
      </c>
      <c r="B128" s="7" t="inlineStr">
        <is>
          <t>1st Floor</t>
        </is>
      </c>
      <c r="C128" s="7" t="inlineStr">
        <is>
          <t>Guest Bathroom</t>
        </is>
      </c>
      <c r="D128" s="7" t="inlineStr">
        <is>
          <t>Towel Ring</t>
        </is>
      </c>
      <c r="E128" s="7" t="n"/>
      <c r="F128" s="7" t="n"/>
      <c r="G128" s="7" t="n"/>
      <c r="H128" s="7" t="n"/>
      <c r="I128" s="8" t="n"/>
      <c r="J128" s="8" t="n"/>
      <c r="K128" s="8" t="n"/>
      <c r="L128" s="8" t="inlineStr">
        <is>
          <t>Not run</t>
        </is>
      </c>
      <c r="M128" s="8" t="n"/>
      <c r="N128" s="8" t="n"/>
      <c r="O128" s="7" t="n"/>
      <c r="P128" s="7" t="inlineStr">
        <is>
          <t>Yes</t>
        </is>
      </c>
      <c r="Q128" t="inlineStr">
        <is>
          <t>Proposed</t>
        </is>
      </c>
      <c r="R128" s="20" t="n"/>
      <c r="S128" s="39" t="n"/>
    </row>
    <row r="129">
      <c r="A129" s="7" t="inlineStr">
        <is>
          <t>UH-101</t>
        </is>
      </c>
      <c r="B129" s="7" t="inlineStr">
        <is>
          <t>1st Floor</t>
        </is>
      </c>
      <c r="C129" s="7" t="inlineStr">
        <is>
          <t>Guest Bathroom</t>
        </is>
      </c>
      <c r="D129" s="7" t="inlineStr">
        <is>
          <t>Towel Bar 24"</t>
        </is>
      </c>
      <c r="E129" s="7" t="n"/>
      <c r="F129" s="7" t="n"/>
      <c r="G129" s="7" t="n"/>
      <c r="H129" s="7" t="n"/>
      <c r="I129" s="8" t="n"/>
      <c r="J129" s="8" t="n"/>
      <c r="K129" s="8" t="n"/>
      <c r="L129" s="8" t="inlineStr">
        <is>
          <t>Not run</t>
        </is>
      </c>
      <c r="M129" s="8" t="n"/>
      <c r="N129" s="8" t="n"/>
      <c r="O129" s="7" t="n"/>
      <c r="P129" s="7" t="inlineStr">
        <is>
          <t>Yes</t>
        </is>
      </c>
      <c r="Q129" t="inlineStr">
        <is>
          <t>Proposed</t>
        </is>
      </c>
      <c r="R129" s="20" t="n"/>
      <c r="S129" s="39" t="n"/>
    </row>
    <row r="130">
      <c r="A130" s="7" t="inlineStr">
        <is>
          <t>UH-101</t>
        </is>
      </c>
      <c r="B130" s="7" t="inlineStr">
        <is>
          <t>1st Floor</t>
        </is>
      </c>
      <c r="C130" s="7" t="inlineStr">
        <is>
          <t>Guest Bathroom</t>
        </is>
      </c>
      <c r="D130" s="7" t="inlineStr">
        <is>
          <t>Flush Toilet</t>
        </is>
      </c>
      <c r="E130" s="7" t="n"/>
      <c r="F130" s="7" t="n"/>
      <c r="G130" s="7" t="n"/>
      <c r="H130" s="7" t="n"/>
      <c r="I130" s="8" t="n"/>
      <c r="J130" s="8" t="n"/>
      <c r="K130" s="8" t="n"/>
      <c r="L130" s="8" t="inlineStr">
        <is>
          <t>Not run</t>
        </is>
      </c>
      <c r="M130" s="8" t="n"/>
      <c r="N130" s="8" t="n"/>
      <c r="O130" s="7" t="n"/>
      <c r="P130" s="7" t="inlineStr">
        <is>
          <t>Yes</t>
        </is>
      </c>
      <c r="Q130" t="inlineStr">
        <is>
          <t>Proposed</t>
        </is>
      </c>
      <c r="R130" s="20" t="n"/>
      <c r="S130" s="39" t="n"/>
    </row>
    <row r="131">
      <c r="A131" s="7" t="inlineStr">
        <is>
          <t>UH-101</t>
        </is>
      </c>
      <c r="B131" s="7" t="inlineStr">
        <is>
          <t>1st Floor</t>
        </is>
      </c>
      <c r="C131" s="7" t="inlineStr">
        <is>
          <t>Guest Bathroom</t>
        </is>
      </c>
      <c r="D131" s="7" t="inlineStr">
        <is>
          <t>Toilet Paper Holder</t>
        </is>
      </c>
      <c r="E131" s="7" t="n"/>
      <c r="F131" s="7" t="n"/>
      <c r="G131" s="7" t="n"/>
      <c r="H131" s="7" t="n"/>
      <c r="I131" s="8" t="n"/>
      <c r="J131" s="8" t="n"/>
      <c r="K131" s="8" t="n"/>
      <c r="L131" s="8" t="inlineStr">
        <is>
          <t>Not run</t>
        </is>
      </c>
      <c r="M131" s="8" t="n"/>
      <c r="N131" s="8" t="n"/>
      <c r="O131" s="7" t="n"/>
      <c r="P131" s="7" t="inlineStr">
        <is>
          <t>Yes</t>
        </is>
      </c>
      <c r="Q131" t="inlineStr">
        <is>
          <t>Proposed</t>
        </is>
      </c>
      <c r="R131" s="20" t="n"/>
      <c r="S131" s="39" t="n"/>
    </row>
    <row r="132">
      <c r="A132" s="7" t="inlineStr">
        <is>
          <t>UH-101</t>
        </is>
      </c>
      <c r="B132" s="7" t="inlineStr">
        <is>
          <t>1st Floor</t>
        </is>
      </c>
      <c r="C132" s="7" t="inlineStr">
        <is>
          <t>Guest Bathroom</t>
        </is>
      </c>
      <c r="D132" s="7" t="inlineStr">
        <is>
          <t>Toilet Lever</t>
        </is>
      </c>
      <c r="E132" s="7" t="n"/>
      <c r="F132" s="7" t="n"/>
      <c r="G132" s="7" t="n"/>
      <c r="H132" s="7" t="n"/>
      <c r="I132" s="8" t="n"/>
      <c r="J132" s="8" t="n"/>
      <c r="K132" s="8" t="n"/>
      <c r="L132" s="8" t="inlineStr">
        <is>
          <t>Not run</t>
        </is>
      </c>
      <c r="M132" s="8" t="n"/>
      <c r="N132" s="8" t="n"/>
      <c r="O132" s="7" t="n"/>
      <c r="P132" s="7" t="inlineStr">
        <is>
          <t>Yes</t>
        </is>
      </c>
      <c r="Q132" t="inlineStr">
        <is>
          <t>Proposed</t>
        </is>
      </c>
      <c r="R132" s="20" t="n"/>
      <c r="S132" s="39" t="n"/>
    </row>
    <row r="133">
      <c r="A133" s="7" t="inlineStr">
        <is>
          <t>UH-101</t>
        </is>
      </c>
      <c r="B133" s="7" t="inlineStr">
        <is>
          <t>1st Floor</t>
        </is>
      </c>
      <c r="C133" s="7" t="inlineStr">
        <is>
          <t>Guest Bathroom</t>
        </is>
      </c>
      <c r="D133" s="7" t="inlineStr">
        <is>
          <t>Exhaust Fan</t>
        </is>
      </c>
      <c r="E133" s="7" t="n"/>
      <c r="F133" s="7" t="n"/>
      <c r="G133" s="7" t="n"/>
      <c r="H133" s="7" t="n"/>
      <c r="I133" s="8" t="n"/>
      <c r="J133" s="8" t="n"/>
      <c r="K133" s="8" t="n"/>
      <c r="L133" s="8" t="inlineStr">
        <is>
          <t>Not run</t>
        </is>
      </c>
      <c r="M133" s="8" t="n"/>
      <c r="N133" s="8" t="n"/>
      <c r="O133" s="7" t="n"/>
      <c r="P133" s="7" t="inlineStr">
        <is>
          <t>Yes</t>
        </is>
      </c>
      <c r="Q133" t="inlineStr">
        <is>
          <t>Proposed</t>
        </is>
      </c>
      <c r="R133" s="20" t="n"/>
      <c r="S133" s="39" t="n"/>
    </row>
    <row r="134">
      <c r="A134" s="7" t="inlineStr">
        <is>
          <t>UH-101</t>
        </is>
      </c>
      <c r="B134" s="7" t="inlineStr">
        <is>
          <t>1st Floor</t>
        </is>
      </c>
      <c r="C134" s="7" t="inlineStr">
        <is>
          <t>Guest Bathroom</t>
        </is>
      </c>
      <c r="D134" s="7" t="inlineStr">
        <is>
          <t>Light Fixture</t>
        </is>
      </c>
      <c r="E134" s="7" t="n"/>
      <c r="F134" s="7" t="n"/>
      <c r="G134" s="7" t="n"/>
      <c r="H134" s="7" t="n"/>
      <c r="I134" s="8" t="n"/>
      <c r="J134" s="8" t="n"/>
      <c r="K134" s="8" t="n"/>
      <c r="L134" s="8" t="inlineStr">
        <is>
          <t>Not run</t>
        </is>
      </c>
      <c r="M134" s="8" t="n"/>
      <c r="N134" s="8" t="n"/>
      <c r="O134" s="7" t="n"/>
      <c r="P134" s="7" t="inlineStr">
        <is>
          <t>Yes</t>
        </is>
      </c>
      <c r="Q134" t="inlineStr">
        <is>
          <t>Proposed</t>
        </is>
      </c>
      <c r="R134" s="20" t="n"/>
      <c r="S134" s="39" t="n"/>
    </row>
    <row r="135">
      <c r="A135" s="7" t="inlineStr">
        <is>
          <t>UH-101</t>
        </is>
      </c>
      <c r="B135" s="7" t="inlineStr">
        <is>
          <t>1st Floor</t>
        </is>
      </c>
      <c r="C135" s="7" t="inlineStr">
        <is>
          <t>Guest Bathroom</t>
        </is>
      </c>
      <c r="D135" s="7" t="inlineStr">
        <is>
          <t>Interior Door</t>
        </is>
      </c>
      <c r="E135" s="7" t="n"/>
      <c r="F135" s="7" t="n"/>
      <c r="G135" s="7" t="n"/>
      <c r="H135" s="7" t="n"/>
      <c r="I135" s="8" t="n"/>
      <c r="J135" s="8" t="n"/>
      <c r="K135" s="8" t="n"/>
      <c r="L135" s="8" t="inlineStr">
        <is>
          <t>Not run</t>
        </is>
      </c>
      <c r="M135" s="8" t="n"/>
      <c r="N135" s="8" t="n"/>
      <c r="O135" s="7" t="n"/>
      <c r="P135" s="7" t="inlineStr">
        <is>
          <t>Yes</t>
        </is>
      </c>
      <c r="Q135" t="inlineStr">
        <is>
          <t>Proposed</t>
        </is>
      </c>
      <c r="R135" s="20" t="n"/>
      <c r="S135" s="39" t="n"/>
    </row>
    <row r="136">
      <c r="A136" s="7" t="inlineStr">
        <is>
          <t>UH-101</t>
        </is>
      </c>
      <c r="B136" s="7" t="inlineStr">
        <is>
          <t>1st Floor</t>
        </is>
      </c>
      <c r="C136" s="7" t="inlineStr">
        <is>
          <t>Guest Bathroom</t>
        </is>
      </c>
      <c r="D136" s="7" t="inlineStr">
        <is>
          <t>Door Stopper</t>
        </is>
      </c>
      <c r="E136" s="7" t="n"/>
      <c r="F136" s="7" t="n"/>
      <c r="G136" s="7" t="n"/>
      <c r="H136" s="7" t="n"/>
      <c r="I136" s="8" t="n"/>
      <c r="J136" s="8" t="n"/>
      <c r="K136" s="8" t="n"/>
      <c r="L136" s="8" t="inlineStr">
        <is>
          <t>Not run</t>
        </is>
      </c>
      <c r="M136" s="8" t="n"/>
      <c r="N136" s="8" t="n"/>
      <c r="O136" s="7" t="n"/>
      <c r="P136" s="7" t="inlineStr">
        <is>
          <t>Yes</t>
        </is>
      </c>
      <c r="Q136" t="inlineStr">
        <is>
          <t>Proposed</t>
        </is>
      </c>
      <c r="R136" s="20" t="n"/>
      <c r="S136" s="39" t="n"/>
    </row>
    <row r="137">
      <c r="A137" s="7" t="inlineStr">
        <is>
          <t>UH-101</t>
        </is>
      </c>
      <c r="B137" s="7" t="inlineStr">
        <is>
          <t>1st Floor</t>
        </is>
      </c>
      <c r="C137" s="7" t="n"/>
      <c r="D137" s="7" t="inlineStr">
        <is>
          <t>Walls</t>
        </is>
      </c>
      <c r="E137" s="7" t="n"/>
      <c r="F137" s="7" t="n"/>
      <c r="G137" s="7" t="n"/>
      <c r="H137" s="7" t="n"/>
      <c r="I137" s="8" t="n"/>
      <c r="J137" s="8" t="n"/>
      <c r="K137" s="8" t="n"/>
      <c r="L137" s="8" t="inlineStr">
        <is>
          <t>Not run</t>
        </is>
      </c>
      <c r="M137" s="8" t="n"/>
      <c r="N137" s="8" t="n"/>
      <c r="O137" s="7" t="n"/>
      <c r="P137" s="7" t="inlineStr">
        <is>
          <t>Yes</t>
        </is>
      </c>
      <c r="Q137" t="inlineStr">
        <is>
          <t>Proposed</t>
        </is>
      </c>
      <c r="R137" s="20" t="n"/>
      <c r="S137" s="39" t="n"/>
    </row>
    <row r="138">
      <c r="A138" s="7" t="inlineStr">
        <is>
          <t>UH-101</t>
        </is>
      </c>
      <c r="B138" s="7" t="inlineStr">
        <is>
          <t>2nd Floor</t>
        </is>
      </c>
      <c r="C138" s="7" t="inlineStr">
        <is>
          <t>Bedroom 1</t>
        </is>
      </c>
      <c r="D138" s="7" t="inlineStr">
        <is>
          <t>Flooring</t>
        </is>
      </c>
      <c r="E138" s="7" t="n"/>
      <c r="F138" s="7" t="n"/>
      <c r="G138" s="7" t="n"/>
      <c r="H138" s="7" t="n"/>
      <c r="I138" s="8" t="n"/>
      <c r="J138" s="8" t="n"/>
      <c r="K138" s="8" t="n"/>
      <c r="L138" s="8" t="inlineStr">
        <is>
          <t>Not run</t>
        </is>
      </c>
      <c r="M138" s="8" t="n"/>
      <c r="N138" s="8" t="n"/>
      <c r="O138" s="7" t="n"/>
      <c r="P138" s="7" t="inlineStr">
        <is>
          <t>Yes</t>
        </is>
      </c>
      <c r="Q138" t="inlineStr">
        <is>
          <t>Proposed</t>
        </is>
      </c>
      <c r="R138" s="20" t="n"/>
      <c r="S138" s="39" t="n"/>
    </row>
    <row r="139">
      <c r="A139" s="7" t="inlineStr">
        <is>
          <t>UH-101</t>
        </is>
      </c>
      <c r="B139" s="7" t="inlineStr">
        <is>
          <t>2nd Floor</t>
        </is>
      </c>
      <c r="C139" s="7" t="inlineStr">
        <is>
          <t>Bedroom 1</t>
        </is>
      </c>
      <c r="D139" s="7" t="inlineStr">
        <is>
          <t>Light Fixture - Fan</t>
        </is>
      </c>
      <c r="E139" s="7" t="n"/>
      <c r="F139" s="7" t="n"/>
      <c r="G139" s="7" t="n"/>
      <c r="H139" s="7" t="n"/>
      <c r="I139" s="8" t="n"/>
      <c r="J139" s="8" t="n"/>
      <c r="K139" s="8" t="n"/>
      <c r="L139" s="8" t="inlineStr">
        <is>
          <t>Not run</t>
        </is>
      </c>
      <c r="M139" s="8" t="n"/>
      <c r="N139" s="8" t="n"/>
      <c r="O139" s="7" t="n"/>
      <c r="P139" s="7" t="inlineStr">
        <is>
          <t>Yes</t>
        </is>
      </c>
      <c r="Q139" t="inlineStr">
        <is>
          <t>Proposed</t>
        </is>
      </c>
      <c r="R139" s="20" t="n"/>
      <c r="S139" s="39" t="n"/>
    </row>
    <row r="140">
      <c r="A140" s="7" t="inlineStr">
        <is>
          <t>UH-101</t>
        </is>
      </c>
      <c r="B140" s="7" t="inlineStr">
        <is>
          <t>2nd Floor</t>
        </is>
      </c>
      <c r="C140" s="7" t="inlineStr">
        <is>
          <t>Bedroom 1</t>
        </is>
      </c>
      <c r="D140" s="7" t="inlineStr">
        <is>
          <t>Interior Door</t>
        </is>
      </c>
      <c r="E140" s="7" t="n"/>
      <c r="F140" s="7" t="n"/>
      <c r="G140" s="7" t="n"/>
      <c r="H140" s="7" t="n"/>
      <c r="I140" s="8" t="n"/>
      <c r="J140" s="8" t="n"/>
      <c r="K140" s="8" t="n"/>
      <c r="L140" s="8" t="inlineStr">
        <is>
          <t>Not run</t>
        </is>
      </c>
      <c r="M140" s="8" t="n"/>
      <c r="N140" s="8" t="n"/>
      <c r="O140" s="7" t="n"/>
      <c r="P140" s="7" t="inlineStr">
        <is>
          <t>Yes</t>
        </is>
      </c>
      <c r="Q140" t="inlineStr">
        <is>
          <t>Proposed</t>
        </is>
      </c>
      <c r="R140" s="20" t="n"/>
      <c r="S140" s="39" t="n"/>
    </row>
    <row r="141">
      <c r="A141" s="7" t="inlineStr">
        <is>
          <t>UH-101</t>
        </is>
      </c>
      <c r="B141" s="7" t="inlineStr">
        <is>
          <t>2nd Floor</t>
        </is>
      </c>
      <c r="C141" s="7" t="inlineStr">
        <is>
          <t>Bedroom 1</t>
        </is>
      </c>
      <c r="D141" s="7" t="inlineStr">
        <is>
          <t>Door Stopper</t>
        </is>
      </c>
      <c r="E141" s="7" t="n"/>
      <c r="F141" s="7" t="n"/>
      <c r="G141" s="7" t="n"/>
      <c r="H141" s="7" t="n"/>
      <c r="I141" s="8" t="n"/>
      <c r="J141" s="8" t="n"/>
      <c r="K141" s="8" t="n"/>
      <c r="L141" s="8" t="inlineStr">
        <is>
          <t>Not run</t>
        </is>
      </c>
      <c r="M141" s="8" t="n"/>
      <c r="N141" s="8" t="n"/>
      <c r="O141" s="7" t="n"/>
      <c r="P141" s="7" t="inlineStr">
        <is>
          <t>Yes</t>
        </is>
      </c>
      <c r="Q141" t="inlineStr">
        <is>
          <t>Proposed</t>
        </is>
      </c>
      <c r="R141" s="20" t="n"/>
      <c r="S141" s="39" t="n"/>
    </row>
    <row r="142">
      <c r="A142" s="7" t="inlineStr">
        <is>
          <t>UH-101</t>
        </is>
      </c>
      <c r="B142" s="7" t="inlineStr">
        <is>
          <t>2nd Floor</t>
        </is>
      </c>
      <c r="C142" s="7" t="inlineStr">
        <is>
          <t>Bathroom 1</t>
        </is>
      </c>
      <c r="D142" s="7" t="inlineStr">
        <is>
          <t>Flooring - Bath</t>
        </is>
      </c>
      <c r="E142" s="7" t="n"/>
      <c r="F142" s="7" t="n"/>
      <c r="G142" s="7" t="n"/>
      <c r="H142" s="7" t="n"/>
      <c r="I142" s="8" t="n"/>
      <c r="J142" s="8" t="n"/>
      <c r="K142" s="8" t="n"/>
      <c r="L142" s="8" t="inlineStr">
        <is>
          <t>Not run</t>
        </is>
      </c>
      <c r="M142" s="8" t="n"/>
      <c r="N142" s="8" t="n"/>
      <c r="O142" s="7" t="n"/>
      <c r="P142" s="7" t="inlineStr">
        <is>
          <t>Yes</t>
        </is>
      </c>
      <c r="Q142" t="inlineStr">
        <is>
          <t>Proposed</t>
        </is>
      </c>
      <c r="R142" s="20" t="n"/>
      <c r="S142" s="39" t="n"/>
    </row>
    <row r="143">
      <c r="A143" s="7" t="inlineStr">
        <is>
          <t>UH-101</t>
        </is>
      </c>
      <c r="B143" s="7" t="inlineStr">
        <is>
          <t>2nd Floor</t>
        </is>
      </c>
      <c r="C143" s="7" t="inlineStr">
        <is>
          <t>Bathroom 1</t>
        </is>
      </c>
      <c r="D143" s="7" t="inlineStr">
        <is>
          <t>Flooring - Shower Floor</t>
        </is>
      </c>
      <c r="E143" s="7" t="n"/>
      <c r="F143" s="7" t="n"/>
      <c r="G143" s="7" t="n"/>
      <c r="H143" s="7" t="n"/>
      <c r="I143" s="8" t="n"/>
      <c r="J143" s="8" t="n"/>
      <c r="K143" s="8" t="n"/>
      <c r="L143" s="8" t="inlineStr">
        <is>
          <t>Not run</t>
        </is>
      </c>
      <c r="M143" s="8" t="n"/>
      <c r="N143" s="8" t="n"/>
      <c r="O143" s="7" t="n"/>
      <c r="P143" s="7" t="inlineStr">
        <is>
          <t>Yes</t>
        </is>
      </c>
      <c r="Q143" t="inlineStr">
        <is>
          <t>Proposed</t>
        </is>
      </c>
      <c r="R143" s="20" t="n"/>
      <c r="S143" s="39" t="n"/>
    </row>
    <row r="144">
      <c r="A144" s="7" t="inlineStr">
        <is>
          <t>UH-101</t>
        </is>
      </c>
      <c r="B144" s="7" t="inlineStr">
        <is>
          <t>2nd Floor</t>
        </is>
      </c>
      <c r="C144" s="7" t="inlineStr">
        <is>
          <t>Bathroom 1</t>
        </is>
      </c>
      <c r="D144" s="7" t="inlineStr">
        <is>
          <t>Backsplash - Shower</t>
        </is>
      </c>
      <c r="E144" s="7" t="n"/>
      <c r="F144" s="7" t="n"/>
      <c r="G144" s="7" t="n"/>
      <c r="H144" s="7" t="n"/>
      <c r="I144" s="8" t="n"/>
      <c r="J144" s="8" t="n"/>
      <c r="K144" s="8" t="n"/>
      <c r="L144" s="8" t="inlineStr">
        <is>
          <t>Not run</t>
        </is>
      </c>
      <c r="M144" s="8" t="n"/>
      <c r="N144" s="8" t="n"/>
      <c r="O144" s="7" t="n"/>
      <c r="P144" s="7" t="inlineStr">
        <is>
          <t>Yes</t>
        </is>
      </c>
      <c r="Q144" t="inlineStr">
        <is>
          <t>Proposed</t>
        </is>
      </c>
      <c r="R144" s="20" t="n"/>
      <c r="S144" s="39" t="n"/>
    </row>
    <row r="145">
      <c r="A145" s="7" t="inlineStr">
        <is>
          <t>UH-101</t>
        </is>
      </c>
      <c r="B145" s="7" t="inlineStr">
        <is>
          <t>2nd Floor</t>
        </is>
      </c>
      <c r="C145" s="7" t="inlineStr">
        <is>
          <t>Bathroom 1</t>
        </is>
      </c>
      <c r="D145" s="7" t="inlineStr">
        <is>
          <t>Counter top</t>
        </is>
      </c>
      <c r="E145" s="7" t="n"/>
      <c r="F145" s="7" t="n"/>
      <c r="G145" s="7" t="n"/>
      <c r="H145" s="7" t="n"/>
      <c r="I145" s="8" t="n"/>
      <c r="J145" s="8" t="n"/>
      <c r="K145" s="8" t="n"/>
      <c r="L145" s="8" t="inlineStr">
        <is>
          <t>Not run</t>
        </is>
      </c>
      <c r="M145" s="8" t="n"/>
      <c r="N145" s="8" t="n"/>
      <c r="O145" s="7" t="n"/>
      <c r="P145" s="7" t="inlineStr">
        <is>
          <t>Yes</t>
        </is>
      </c>
      <c r="Q145" t="inlineStr">
        <is>
          <t>Proposed</t>
        </is>
      </c>
      <c r="R145" s="20" t="n"/>
      <c r="S145" s="39" t="n"/>
    </row>
    <row r="146">
      <c r="A146" s="7" t="inlineStr">
        <is>
          <t>UH-101</t>
        </is>
      </c>
      <c r="B146" s="7" t="inlineStr">
        <is>
          <t>2nd Floor</t>
        </is>
      </c>
      <c r="C146" s="7" t="inlineStr">
        <is>
          <t>Bathroom 1</t>
        </is>
      </c>
      <c r="D146" s="7" t="inlineStr">
        <is>
          <t>Shower Glass</t>
        </is>
      </c>
      <c r="E146" s="7" t="n"/>
      <c r="F146" s="7" t="n"/>
      <c r="G146" s="7" t="n"/>
      <c r="H146" s="7" t="n"/>
      <c r="I146" s="8" t="n"/>
      <c r="J146" s="8" t="n"/>
      <c r="K146" s="8" t="n"/>
      <c r="L146" s="8" t="inlineStr">
        <is>
          <t>Not run</t>
        </is>
      </c>
      <c r="M146" s="8" t="n"/>
      <c r="N146" s="8" t="n"/>
      <c r="O146" s="7" t="n"/>
      <c r="P146" s="7" t="inlineStr">
        <is>
          <t>Yes</t>
        </is>
      </c>
      <c r="Q146" t="inlineStr">
        <is>
          <t>Proposed</t>
        </is>
      </c>
      <c r="R146" s="20" t="n"/>
      <c r="S146" s="39" t="n"/>
    </row>
    <row r="147">
      <c r="A147" s="7" t="inlineStr">
        <is>
          <t>UH-101</t>
        </is>
      </c>
      <c r="B147" s="7" t="inlineStr">
        <is>
          <t>2nd Floor</t>
        </is>
      </c>
      <c r="C147" s="7" t="inlineStr">
        <is>
          <t>Bathroom 1</t>
        </is>
      </c>
      <c r="D147" s="7" t="inlineStr">
        <is>
          <t>Shower Head &amp; Valve</t>
        </is>
      </c>
      <c r="E147" s="7" t="n"/>
      <c r="F147" s="7" t="n"/>
      <c r="G147" s="7" t="n"/>
      <c r="H147" s="7" t="n"/>
      <c r="I147" s="8" t="n"/>
      <c r="J147" s="8" t="n"/>
      <c r="K147" s="8" t="n"/>
      <c r="L147" s="8" t="inlineStr">
        <is>
          <t>Not run</t>
        </is>
      </c>
      <c r="M147" s="8" t="n"/>
      <c r="N147" s="8" t="n"/>
      <c r="O147" s="7" t="n"/>
      <c r="P147" s="7" t="inlineStr">
        <is>
          <t>Yes</t>
        </is>
      </c>
      <c r="Q147" t="inlineStr">
        <is>
          <t>Proposed</t>
        </is>
      </c>
      <c r="R147" s="20" t="n"/>
      <c r="S147" s="39" t="n"/>
    </row>
    <row r="148">
      <c r="A148" s="7" t="inlineStr">
        <is>
          <t>UH-101</t>
        </is>
      </c>
      <c r="B148" s="7" t="inlineStr">
        <is>
          <t>2nd Floor</t>
        </is>
      </c>
      <c r="C148" s="7" t="inlineStr">
        <is>
          <t>Bathroom 1</t>
        </is>
      </c>
      <c r="D148" s="7" t="inlineStr">
        <is>
          <t>Shower Drain</t>
        </is>
      </c>
      <c r="E148" s="7" t="n"/>
      <c r="F148" s="7" t="n"/>
      <c r="G148" s="7" t="n"/>
      <c r="H148" s="7" t="n"/>
      <c r="I148" s="8" t="n"/>
      <c r="J148" s="8" t="n"/>
      <c r="K148" s="8" t="n"/>
      <c r="L148" s="8" t="inlineStr">
        <is>
          <t>Not run</t>
        </is>
      </c>
      <c r="M148" s="8" t="n"/>
      <c r="N148" s="8" t="n"/>
      <c r="O148" s="7" t="n"/>
      <c r="P148" s="7" t="inlineStr">
        <is>
          <t>Yes</t>
        </is>
      </c>
      <c r="Q148" t="inlineStr">
        <is>
          <t>Proposed</t>
        </is>
      </c>
      <c r="R148" s="20" t="n"/>
      <c r="S148" s="39" t="n"/>
    </row>
    <row r="149">
      <c r="A149" s="7" t="inlineStr">
        <is>
          <t>UH-101</t>
        </is>
      </c>
      <c r="B149" s="7" t="inlineStr">
        <is>
          <t>2nd Floor</t>
        </is>
      </c>
      <c r="C149" s="7" t="inlineStr">
        <is>
          <t>Bathroom 1</t>
        </is>
      </c>
      <c r="D149" s="7" t="inlineStr">
        <is>
          <t>Vanity Mirror</t>
        </is>
      </c>
      <c r="E149" s="7" t="n"/>
      <c r="F149" s="7" t="n"/>
      <c r="G149" s="7" t="n"/>
      <c r="H149" s="7" t="n"/>
      <c r="I149" s="8" t="n"/>
      <c r="J149" s="8" t="n"/>
      <c r="K149" s="8" t="n"/>
      <c r="L149" s="8" t="inlineStr">
        <is>
          <t>Not run</t>
        </is>
      </c>
      <c r="M149" s="8" t="n"/>
      <c r="N149" s="8" t="n"/>
      <c r="O149" s="7" t="n"/>
      <c r="P149" s="7" t="inlineStr">
        <is>
          <t>Yes</t>
        </is>
      </c>
      <c r="Q149" t="inlineStr">
        <is>
          <t>Proposed</t>
        </is>
      </c>
      <c r="R149" s="20" t="n"/>
      <c r="S149" s="39" t="n"/>
    </row>
    <row r="150">
      <c r="A150" s="7" t="inlineStr">
        <is>
          <t>UH-101</t>
        </is>
      </c>
      <c r="B150" s="7" t="inlineStr">
        <is>
          <t>2nd Floor</t>
        </is>
      </c>
      <c r="C150" s="7" t="inlineStr">
        <is>
          <t>Bathroom 1</t>
        </is>
      </c>
      <c r="D150" s="7" t="inlineStr">
        <is>
          <t>Bathroom Sink</t>
        </is>
      </c>
      <c r="E150" s="7" t="n"/>
      <c r="F150" s="7" t="n"/>
      <c r="G150" s="7" t="n"/>
      <c r="H150" s="7" t="n"/>
      <c r="I150" s="8" t="n"/>
      <c r="J150" s="8" t="n"/>
      <c r="K150" s="8" t="n"/>
      <c r="L150" s="8" t="inlineStr">
        <is>
          <t>Not run</t>
        </is>
      </c>
      <c r="M150" s="8" t="n"/>
      <c r="N150" s="8" t="n"/>
      <c r="O150" s="7" t="n"/>
      <c r="P150" s="7" t="inlineStr">
        <is>
          <t>Yes</t>
        </is>
      </c>
      <c r="Q150" t="inlineStr">
        <is>
          <t>Proposed</t>
        </is>
      </c>
      <c r="R150" s="20" t="n"/>
      <c r="S150" s="39" t="n"/>
    </row>
    <row r="151">
      <c r="A151" s="7" t="inlineStr">
        <is>
          <t>UH-101</t>
        </is>
      </c>
      <c r="B151" s="7" t="inlineStr">
        <is>
          <t>2nd Floor</t>
        </is>
      </c>
      <c r="C151" s="7" t="inlineStr">
        <is>
          <t>Bathroom 1</t>
        </is>
      </c>
      <c r="D151" s="7" t="inlineStr">
        <is>
          <t>Sink Faucet</t>
        </is>
      </c>
      <c r="E151" s="7" t="n"/>
      <c r="F151" s="7" t="n"/>
      <c r="G151" s="7" t="n"/>
      <c r="H151" s="7" t="n"/>
      <c r="I151" s="8" t="n"/>
      <c r="J151" s="8" t="n"/>
      <c r="K151" s="8" t="n"/>
      <c r="L151" s="8" t="inlineStr">
        <is>
          <t>Not run</t>
        </is>
      </c>
      <c r="M151" s="8" t="n"/>
      <c r="N151" s="8" t="n"/>
      <c r="O151" s="7" t="n"/>
      <c r="P151" s="7" t="inlineStr">
        <is>
          <t>Yes</t>
        </is>
      </c>
      <c r="Q151" t="inlineStr">
        <is>
          <t>Proposed</t>
        </is>
      </c>
      <c r="R151" s="20" t="n"/>
      <c r="S151" s="39" t="n"/>
    </row>
    <row r="152">
      <c r="A152" s="7" t="inlineStr">
        <is>
          <t>UH-101</t>
        </is>
      </c>
      <c r="B152" s="7" t="inlineStr">
        <is>
          <t>2nd Floor</t>
        </is>
      </c>
      <c r="C152" s="7" t="inlineStr">
        <is>
          <t>Bathroom 1</t>
        </is>
      </c>
      <c r="D152" s="7" t="inlineStr">
        <is>
          <t>Towel Ring</t>
        </is>
      </c>
      <c r="E152" s="7" t="n"/>
      <c r="F152" s="7" t="n"/>
      <c r="G152" s="7" t="n"/>
      <c r="H152" s="7" t="n"/>
      <c r="I152" s="8" t="n"/>
      <c r="J152" s="8" t="n"/>
      <c r="K152" s="8" t="n"/>
      <c r="L152" s="8" t="inlineStr">
        <is>
          <t>Not run</t>
        </is>
      </c>
      <c r="M152" s="8" t="n"/>
      <c r="N152" s="8" t="n"/>
      <c r="O152" s="7" t="n"/>
      <c r="P152" s="7" t="inlineStr">
        <is>
          <t>Yes</t>
        </is>
      </c>
      <c r="Q152" t="inlineStr">
        <is>
          <t>Proposed</t>
        </is>
      </c>
      <c r="R152" s="20" t="n"/>
      <c r="S152" s="39" t="n"/>
    </row>
    <row r="153">
      <c r="A153" s="7" t="inlineStr">
        <is>
          <t>UH-101</t>
        </is>
      </c>
      <c r="B153" s="7" t="inlineStr">
        <is>
          <t>2nd Floor</t>
        </is>
      </c>
      <c r="C153" s="7" t="inlineStr">
        <is>
          <t>Bathroom 1</t>
        </is>
      </c>
      <c r="D153" s="7" t="inlineStr">
        <is>
          <t>Towel Bar 24"</t>
        </is>
      </c>
      <c r="E153" s="7" t="n"/>
      <c r="F153" s="7" t="n"/>
      <c r="G153" s="7" t="n"/>
      <c r="H153" s="7" t="n"/>
      <c r="I153" s="8" t="n"/>
      <c r="J153" s="8" t="n"/>
      <c r="K153" s="8" t="n"/>
      <c r="L153" s="8" t="inlineStr">
        <is>
          <t>Not run</t>
        </is>
      </c>
      <c r="M153" s="8" t="n"/>
      <c r="N153" s="8" t="n"/>
      <c r="O153" s="7" t="n"/>
      <c r="P153" s="7" t="inlineStr">
        <is>
          <t>Yes</t>
        </is>
      </c>
      <c r="Q153" t="inlineStr">
        <is>
          <t>Proposed</t>
        </is>
      </c>
      <c r="R153" s="20" t="n"/>
      <c r="S153" s="39" t="n"/>
    </row>
    <row r="154">
      <c r="A154" s="7" t="inlineStr">
        <is>
          <t>UH-101</t>
        </is>
      </c>
      <c r="B154" s="7" t="inlineStr">
        <is>
          <t>2nd Floor</t>
        </is>
      </c>
      <c r="C154" s="7" t="inlineStr">
        <is>
          <t>Bathroom 1</t>
        </is>
      </c>
      <c r="D154" s="7" t="inlineStr">
        <is>
          <t>Flush Toilet</t>
        </is>
      </c>
      <c r="E154" s="7" t="n"/>
      <c r="F154" s="7" t="n"/>
      <c r="G154" s="7" t="n"/>
      <c r="H154" s="7" t="n"/>
      <c r="I154" s="8" t="n"/>
      <c r="J154" s="8" t="n"/>
      <c r="K154" s="8" t="n"/>
      <c r="L154" s="8" t="inlineStr">
        <is>
          <t>Not run</t>
        </is>
      </c>
      <c r="M154" s="8" t="n"/>
      <c r="N154" s="8" t="n"/>
      <c r="O154" s="7" t="n"/>
      <c r="P154" s="7" t="inlineStr">
        <is>
          <t>Yes</t>
        </is>
      </c>
      <c r="Q154" t="inlineStr">
        <is>
          <t>Proposed</t>
        </is>
      </c>
      <c r="R154" s="20" t="n"/>
      <c r="S154" s="39" t="n"/>
    </row>
    <row r="155">
      <c r="A155" s="7" t="inlineStr">
        <is>
          <t>UH-101</t>
        </is>
      </c>
      <c r="B155" s="7" t="inlineStr">
        <is>
          <t>2nd Floor</t>
        </is>
      </c>
      <c r="C155" s="7" t="inlineStr">
        <is>
          <t>Bathroom 1</t>
        </is>
      </c>
      <c r="D155" s="7" t="inlineStr">
        <is>
          <t>Toilet Paper Holder</t>
        </is>
      </c>
      <c r="E155" s="7" t="n"/>
      <c r="F155" s="7" t="n"/>
      <c r="G155" s="7" t="n"/>
      <c r="H155" s="7" t="n"/>
      <c r="I155" s="8" t="n"/>
      <c r="J155" s="8" t="n"/>
      <c r="K155" s="8" t="n"/>
      <c r="L155" s="8" t="inlineStr">
        <is>
          <t>Not run</t>
        </is>
      </c>
      <c r="M155" s="8" t="n"/>
      <c r="N155" s="8" t="n"/>
      <c r="O155" s="7" t="n"/>
      <c r="P155" s="7" t="inlineStr">
        <is>
          <t>Yes</t>
        </is>
      </c>
      <c r="Q155" t="inlineStr">
        <is>
          <t>Proposed</t>
        </is>
      </c>
      <c r="R155" s="20" t="n"/>
      <c r="S155" s="39" t="n"/>
    </row>
    <row r="156">
      <c r="A156" s="7" t="inlineStr">
        <is>
          <t>UH-101</t>
        </is>
      </c>
      <c r="B156" s="7" t="inlineStr">
        <is>
          <t>2nd Floor</t>
        </is>
      </c>
      <c r="C156" s="7" t="inlineStr">
        <is>
          <t>Bathroom 1</t>
        </is>
      </c>
      <c r="D156" s="7" t="inlineStr">
        <is>
          <t>Toilet Lever</t>
        </is>
      </c>
      <c r="E156" s="7" t="n"/>
      <c r="F156" s="7" t="n"/>
      <c r="G156" s="7" t="n"/>
      <c r="H156" s="7" t="n"/>
      <c r="I156" s="8" t="n"/>
      <c r="J156" s="8" t="n"/>
      <c r="K156" s="8" t="n"/>
      <c r="L156" s="8" t="inlineStr">
        <is>
          <t>Not run</t>
        </is>
      </c>
      <c r="M156" s="8" t="n"/>
      <c r="N156" s="8" t="n"/>
      <c r="O156" s="7" t="n"/>
      <c r="P156" s="7" t="inlineStr">
        <is>
          <t>Yes</t>
        </is>
      </c>
      <c r="Q156" t="inlineStr">
        <is>
          <t>Proposed</t>
        </is>
      </c>
      <c r="R156" s="20" t="n"/>
      <c r="S156" s="39" t="n"/>
    </row>
    <row r="157">
      <c r="A157" s="7" t="inlineStr">
        <is>
          <t>UH-101</t>
        </is>
      </c>
      <c r="B157" s="7" t="inlineStr">
        <is>
          <t>2nd Floor</t>
        </is>
      </c>
      <c r="C157" s="7" t="inlineStr">
        <is>
          <t>Bathroom 1</t>
        </is>
      </c>
      <c r="D157" s="7" t="inlineStr">
        <is>
          <t>Exhaust Fan</t>
        </is>
      </c>
      <c r="E157" s="7" t="n"/>
      <c r="F157" s="7" t="n"/>
      <c r="G157" s="7" t="n"/>
      <c r="H157" s="7" t="n"/>
      <c r="I157" s="8" t="n"/>
      <c r="J157" s="8" t="n"/>
      <c r="K157" s="8" t="n"/>
      <c r="L157" s="8" t="inlineStr">
        <is>
          <t>Not run</t>
        </is>
      </c>
      <c r="M157" s="8" t="n"/>
      <c r="N157" s="8" t="n"/>
      <c r="O157" s="7" t="n"/>
      <c r="P157" s="7" t="inlineStr">
        <is>
          <t>Yes</t>
        </is>
      </c>
      <c r="Q157" t="inlineStr">
        <is>
          <t>Proposed</t>
        </is>
      </c>
      <c r="R157" s="20" t="n"/>
      <c r="S157" s="39" t="n"/>
    </row>
    <row r="158">
      <c r="A158" s="7" t="inlineStr">
        <is>
          <t>UH-101</t>
        </is>
      </c>
      <c r="B158" s="7" t="inlineStr">
        <is>
          <t>2nd Floor</t>
        </is>
      </c>
      <c r="C158" s="7" t="inlineStr">
        <is>
          <t>Bathroom 1</t>
        </is>
      </c>
      <c r="D158" s="7" t="inlineStr">
        <is>
          <t>Light Fixture</t>
        </is>
      </c>
      <c r="E158" s="7" t="n"/>
      <c r="F158" s="7" t="n"/>
      <c r="G158" s="7" t="n"/>
      <c r="H158" s="7" t="n"/>
      <c r="I158" s="8" t="n"/>
      <c r="J158" s="8" t="n"/>
      <c r="K158" s="8" t="n"/>
      <c r="L158" s="8" t="inlineStr">
        <is>
          <t>Not run</t>
        </is>
      </c>
      <c r="M158" s="8" t="n"/>
      <c r="N158" s="8" t="n"/>
      <c r="O158" s="7" t="n"/>
      <c r="P158" s="7" t="inlineStr">
        <is>
          <t>Yes</t>
        </is>
      </c>
      <c r="Q158" t="inlineStr">
        <is>
          <t>Proposed</t>
        </is>
      </c>
      <c r="R158" s="20" t="n"/>
      <c r="S158" s="39" t="n"/>
    </row>
    <row r="159">
      <c r="A159" s="7" t="inlineStr">
        <is>
          <t>UH-101</t>
        </is>
      </c>
      <c r="B159" s="7" t="inlineStr">
        <is>
          <t>2nd Floor</t>
        </is>
      </c>
      <c r="C159" s="7" t="inlineStr">
        <is>
          <t>Bathroom 1</t>
        </is>
      </c>
      <c r="D159" s="7" t="inlineStr">
        <is>
          <t>Interior Door</t>
        </is>
      </c>
      <c r="E159" s="7" t="n"/>
      <c r="F159" s="7" t="n"/>
      <c r="G159" s="7" t="n"/>
      <c r="H159" s="7" t="n"/>
      <c r="I159" s="8" t="n"/>
      <c r="J159" s="8" t="n"/>
      <c r="K159" s="8" t="n"/>
      <c r="L159" s="8" t="inlineStr">
        <is>
          <t>Not run</t>
        </is>
      </c>
      <c r="M159" s="8" t="n"/>
      <c r="N159" s="8" t="n"/>
      <c r="O159" s="7" t="n"/>
      <c r="P159" s="7" t="inlineStr">
        <is>
          <t>Yes</t>
        </is>
      </c>
      <c r="Q159" t="inlineStr">
        <is>
          <t>Proposed</t>
        </is>
      </c>
      <c r="R159" s="20" t="n"/>
      <c r="S159" s="39" t="n"/>
    </row>
    <row r="160">
      <c r="A160" s="7" t="inlineStr">
        <is>
          <t>UH-101</t>
        </is>
      </c>
      <c r="B160" s="7" t="inlineStr">
        <is>
          <t>2nd Floor</t>
        </is>
      </c>
      <c r="C160" s="7" t="inlineStr">
        <is>
          <t>Bathroom 1</t>
        </is>
      </c>
      <c r="D160" s="7" t="inlineStr">
        <is>
          <t>Door Stopper</t>
        </is>
      </c>
      <c r="E160" s="7" t="n"/>
      <c r="F160" s="7" t="n"/>
      <c r="G160" s="7" t="n"/>
      <c r="H160" s="7" t="n"/>
      <c r="I160" s="8" t="n"/>
      <c r="J160" s="8" t="n"/>
      <c r="K160" s="8" t="n"/>
      <c r="L160" s="8" t="inlineStr">
        <is>
          <t>Not run</t>
        </is>
      </c>
      <c r="M160" s="8" t="n"/>
      <c r="N160" s="8" t="n"/>
      <c r="O160" s="7" t="n"/>
      <c r="P160" s="7" t="inlineStr">
        <is>
          <t>Yes</t>
        </is>
      </c>
      <c r="Q160" t="inlineStr">
        <is>
          <t>Proposed</t>
        </is>
      </c>
      <c r="R160" s="20" t="n"/>
      <c r="S160" s="39" t="n"/>
    </row>
    <row r="161">
      <c r="A161" s="7" t="inlineStr">
        <is>
          <t>UH-101</t>
        </is>
      </c>
      <c r="B161" s="7" t="inlineStr">
        <is>
          <t>2nd Floor</t>
        </is>
      </c>
      <c r="C161" s="7" t="inlineStr">
        <is>
          <t>Bedroom 2</t>
        </is>
      </c>
      <c r="D161" s="7" t="inlineStr">
        <is>
          <t>Flooring</t>
        </is>
      </c>
      <c r="E161" s="7" t="n"/>
      <c r="F161" s="7" t="n"/>
      <c r="G161" s="7" t="n"/>
      <c r="H161" s="7" t="n"/>
      <c r="I161" s="8" t="n"/>
      <c r="J161" s="8" t="n"/>
      <c r="K161" s="8" t="n"/>
      <c r="L161" s="8" t="inlineStr">
        <is>
          <t>Not run</t>
        </is>
      </c>
      <c r="M161" s="8" t="n"/>
      <c r="N161" s="8" t="n"/>
      <c r="O161" s="7" t="n"/>
      <c r="P161" s="7" t="inlineStr">
        <is>
          <t>Yes</t>
        </is>
      </c>
      <c r="Q161" t="inlineStr">
        <is>
          <t>Proposed</t>
        </is>
      </c>
      <c r="R161" s="20" t="n"/>
      <c r="S161" s="39" t="n"/>
    </row>
    <row r="162">
      <c r="A162" s="7" t="inlineStr">
        <is>
          <t>UH-101</t>
        </is>
      </c>
      <c r="B162" s="7" t="inlineStr">
        <is>
          <t>2nd Floor</t>
        </is>
      </c>
      <c r="C162" s="7" t="inlineStr">
        <is>
          <t>Bedroom 2</t>
        </is>
      </c>
      <c r="D162" s="7" t="inlineStr">
        <is>
          <t>Light Fixture - Fan</t>
        </is>
      </c>
      <c r="E162" s="7" t="n"/>
      <c r="F162" s="7" t="n"/>
      <c r="G162" s="7" t="n"/>
      <c r="H162" s="7" t="n"/>
      <c r="I162" s="8" t="n"/>
      <c r="J162" s="8" t="n"/>
      <c r="K162" s="8" t="n"/>
      <c r="L162" s="8" t="inlineStr">
        <is>
          <t>Not run</t>
        </is>
      </c>
      <c r="M162" s="8" t="n"/>
      <c r="N162" s="8" t="n"/>
      <c r="O162" s="7" t="n"/>
      <c r="P162" s="7" t="inlineStr">
        <is>
          <t>Yes</t>
        </is>
      </c>
      <c r="Q162" t="inlineStr">
        <is>
          <t>Proposed</t>
        </is>
      </c>
      <c r="R162" s="20" t="n"/>
      <c r="S162" s="39" t="n"/>
    </row>
    <row r="163">
      <c r="A163" s="7" t="inlineStr">
        <is>
          <t>UH-101</t>
        </is>
      </c>
      <c r="B163" s="7" t="inlineStr">
        <is>
          <t>2nd Floor</t>
        </is>
      </c>
      <c r="C163" s="7" t="inlineStr">
        <is>
          <t>Bedroom 2</t>
        </is>
      </c>
      <c r="D163" s="7" t="inlineStr">
        <is>
          <t>Interior Door</t>
        </is>
      </c>
      <c r="E163" s="7" t="n"/>
      <c r="F163" s="7" t="n"/>
      <c r="G163" s="7" t="n"/>
      <c r="H163" s="7" t="n"/>
      <c r="I163" s="8" t="n"/>
      <c r="J163" s="8" t="n"/>
      <c r="K163" s="8" t="n"/>
      <c r="L163" s="8" t="inlineStr">
        <is>
          <t>Not run</t>
        </is>
      </c>
      <c r="M163" s="8" t="n"/>
      <c r="N163" s="8" t="n"/>
      <c r="O163" s="7" t="n"/>
      <c r="P163" s="7" t="inlineStr">
        <is>
          <t>Yes</t>
        </is>
      </c>
      <c r="Q163" t="inlineStr">
        <is>
          <t>Proposed</t>
        </is>
      </c>
      <c r="R163" s="20" t="n"/>
      <c r="S163" s="39" t="n"/>
    </row>
    <row r="164">
      <c r="A164" s="7" t="inlineStr">
        <is>
          <t>UH-101</t>
        </is>
      </c>
      <c r="B164" s="7" t="inlineStr">
        <is>
          <t>2nd Floor</t>
        </is>
      </c>
      <c r="C164" s="7" t="inlineStr">
        <is>
          <t>Bedroom 2</t>
        </is>
      </c>
      <c r="D164" s="7" t="inlineStr">
        <is>
          <t>Door Stopper</t>
        </is>
      </c>
      <c r="E164" s="7" t="n"/>
      <c r="F164" s="7" t="n"/>
      <c r="G164" s="7" t="n"/>
      <c r="H164" s="7" t="n"/>
      <c r="I164" s="8" t="n"/>
      <c r="J164" s="8" t="n"/>
      <c r="K164" s="8" t="n"/>
      <c r="L164" s="8" t="inlineStr">
        <is>
          <t>Not run</t>
        </is>
      </c>
      <c r="M164" s="8" t="n"/>
      <c r="N164" s="8" t="n"/>
      <c r="O164" s="7" t="n"/>
      <c r="P164" s="7" t="inlineStr">
        <is>
          <t>Yes</t>
        </is>
      </c>
      <c r="Q164" t="inlineStr">
        <is>
          <t>Proposed</t>
        </is>
      </c>
      <c r="R164" s="20" t="n"/>
      <c r="S164" s="39" t="n"/>
    </row>
    <row r="165">
      <c r="A165" s="7" t="inlineStr">
        <is>
          <t>UH-101</t>
        </is>
      </c>
      <c r="B165" s="7" t="inlineStr">
        <is>
          <t>2nd Floor</t>
        </is>
      </c>
      <c r="C165" s="7" t="inlineStr">
        <is>
          <t>Bathroom 2</t>
        </is>
      </c>
      <c r="D165" s="7" t="inlineStr">
        <is>
          <t>Flooring - Bath</t>
        </is>
      </c>
      <c r="E165" s="7" t="n"/>
      <c r="F165" s="7" t="n"/>
      <c r="G165" s="7" t="n"/>
      <c r="H165" s="7" t="n"/>
      <c r="I165" s="8" t="n"/>
      <c r="J165" s="8" t="n"/>
      <c r="K165" s="8" t="n"/>
      <c r="L165" s="8" t="inlineStr">
        <is>
          <t>Not run</t>
        </is>
      </c>
      <c r="M165" s="8" t="n"/>
      <c r="N165" s="8" t="n"/>
      <c r="O165" s="7" t="n"/>
      <c r="P165" s="7" t="inlineStr">
        <is>
          <t>Yes</t>
        </is>
      </c>
      <c r="Q165" t="inlineStr">
        <is>
          <t>Proposed</t>
        </is>
      </c>
      <c r="R165" s="20" t="n"/>
      <c r="S165" s="39" t="n"/>
    </row>
    <row r="166">
      <c r="A166" s="7" t="inlineStr">
        <is>
          <t>UH-101</t>
        </is>
      </c>
      <c r="B166" s="7" t="inlineStr">
        <is>
          <t>2nd Floor</t>
        </is>
      </c>
      <c r="C166" s="7" t="inlineStr">
        <is>
          <t>Bathroom 2</t>
        </is>
      </c>
      <c r="D166" s="7" t="inlineStr">
        <is>
          <t>Flooring - Shower Floor</t>
        </is>
      </c>
      <c r="E166" s="7" t="n"/>
      <c r="F166" s="7" t="n"/>
      <c r="G166" s="7" t="n"/>
      <c r="H166" s="7" t="n"/>
      <c r="I166" s="8" t="n"/>
      <c r="J166" s="8" t="n"/>
      <c r="K166" s="8" t="n"/>
      <c r="L166" s="8" t="inlineStr">
        <is>
          <t>Not run</t>
        </is>
      </c>
      <c r="M166" s="8" t="n"/>
      <c r="N166" s="8" t="n"/>
      <c r="O166" s="7" t="n"/>
      <c r="P166" s="7" t="inlineStr">
        <is>
          <t>Yes</t>
        </is>
      </c>
      <c r="Q166" t="inlineStr">
        <is>
          <t>Proposed</t>
        </is>
      </c>
      <c r="R166" s="20" t="n"/>
      <c r="S166" s="39" t="n"/>
    </row>
    <row r="167">
      <c r="A167" s="7" t="inlineStr">
        <is>
          <t>UH-101</t>
        </is>
      </c>
      <c r="B167" s="7" t="inlineStr">
        <is>
          <t>2nd Floor</t>
        </is>
      </c>
      <c r="C167" s="7" t="inlineStr">
        <is>
          <t>Bathroom 2</t>
        </is>
      </c>
      <c r="D167" s="7" t="inlineStr">
        <is>
          <t>Backsplash - Shower</t>
        </is>
      </c>
      <c r="E167" s="7" t="n"/>
      <c r="F167" s="7" t="n"/>
      <c r="G167" s="7" t="n"/>
      <c r="H167" s="7" t="n"/>
      <c r="I167" s="8" t="n"/>
      <c r="J167" s="8" t="n"/>
      <c r="K167" s="8" t="n"/>
      <c r="L167" s="8" t="inlineStr">
        <is>
          <t>Not run</t>
        </is>
      </c>
      <c r="M167" s="8" t="n"/>
      <c r="N167" s="8" t="n"/>
      <c r="O167" s="7" t="n"/>
      <c r="P167" s="7" t="inlineStr">
        <is>
          <t>Yes</t>
        </is>
      </c>
      <c r="Q167" t="inlineStr">
        <is>
          <t>Proposed</t>
        </is>
      </c>
      <c r="R167" s="20" t="n"/>
      <c r="S167" s="39" t="n"/>
    </row>
    <row r="168">
      <c r="A168" s="7" t="inlineStr">
        <is>
          <t>UH-101</t>
        </is>
      </c>
      <c r="B168" s="7" t="inlineStr">
        <is>
          <t>2nd Floor</t>
        </is>
      </c>
      <c r="C168" s="7" t="inlineStr">
        <is>
          <t>Bathroom 2</t>
        </is>
      </c>
      <c r="D168" s="7" t="inlineStr">
        <is>
          <t>Counter top</t>
        </is>
      </c>
      <c r="E168" s="7" t="n"/>
      <c r="F168" s="7" t="n"/>
      <c r="G168" s="7" t="n"/>
      <c r="H168" s="7" t="n"/>
      <c r="I168" s="8" t="n"/>
      <c r="J168" s="8" t="n"/>
      <c r="K168" s="8" t="n"/>
      <c r="L168" s="8" t="inlineStr">
        <is>
          <t>Not run</t>
        </is>
      </c>
      <c r="M168" s="8" t="n"/>
      <c r="N168" s="8" t="n"/>
      <c r="O168" s="7" t="n"/>
      <c r="P168" s="7" t="inlineStr">
        <is>
          <t>Yes</t>
        </is>
      </c>
      <c r="Q168" t="inlineStr">
        <is>
          <t>Proposed</t>
        </is>
      </c>
      <c r="R168" s="20" t="n"/>
      <c r="S168" s="39" t="n"/>
    </row>
    <row r="169">
      <c r="A169" s="7" t="inlineStr">
        <is>
          <t>UH-101</t>
        </is>
      </c>
      <c r="B169" s="7" t="inlineStr">
        <is>
          <t>2nd Floor</t>
        </is>
      </c>
      <c r="C169" s="7" t="inlineStr">
        <is>
          <t>Bathroom 2</t>
        </is>
      </c>
      <c r="D169" s="7" t="inlineStr">
        <is>
          <t>Shower Glass</t>
        </is>
      </c>
      <c r="E169" s="7" t="n"/>
      <c r="F169" s="7" t="n"/>
      <c r="G169" s="7" t="n"/>
      <c r="H169" s="7" t="n"/>
      <c r="I169" s="8" t="n"/>
      <c r="J169" s="8" t="n"/>
      <c r="K169" s="8" t="n"/>
      <c r="L169" s="8" t="inlineStr">
        <is>
          <t>Not run</t>
        </is>
      </c>
      <c r="M169" s="8" t="n"/>
      <c r="N169" s="8" t="n"/>
      <c r="O169" s="7" t="n"/>
      <c r="P169" s="7" t="inlineStr">
        <is>
          <t>Yes</t>
        </is>
      </c>
      <c r="Q169" t="inlineStr">
        <is>
          <t>Proposed</t>
        </is>
      </c>
      <c r="R169" s="20" t="n"/>
      <c r="S169" s="39" t="n"/>
    </row>
    <row r="170">
      <c r="A170" s="7" t="inlineStr">
        <is>
          <t>UH-101</t>
        </is>
      </c>
      <c r="B170" s="7" t="inlineStr">
        <is>
          <t>2nd Floor</t>
        </is>
      </c>
      <c r="C170" s="7" t="inlineStr">
        <is>
          <t>Bathroom 2</t>
        </is>
      </c>
      <c r="D170" s="7" t="inlineStr">
        <is>
          <t>Shower Head &amp; Valve</t>
        </is>
      </c>
      <c r="E170" s="7" t="n"/>
      <c r="F170" s="7" t="n"/>
      <c r="G170" s="7" t="n"/>
      <c r="H170" s="7" t="n"/>
      <c r="I170" s="8" t="n"/>
      <c r="J170" s="8" t="n"/>
      <c r="K170" s="8" t="n"/>
      <c r="L170" s="8" t="inlineStr">
        <is>
          <t>Not run</t>
        </is>
      </c>
      <c r="M170" s="8" t="n"/>
      <c r="N170" s="8" t="n"/>
      <c r="O170" s="7" t="n"/>
      <c r="P170" s="7" t="inlineStr">
        <is>
          <t>Yes</t>
        </is>
      </c>
      <c r="Q170" t="inlineStr">
        <is>
          <t>Proposed</t>
        </is>
      </c>
      <c r="R170" s="20" t="n"/>
      <c r="S170" s="39" t="n"/>
    </row>
    <row r="171">
      <c r="A171" s="7" t="inlineStr">
        <is>
          <t>UH-101</t>
        </is>
      </c>
      <c r="B171" s="7" t="inlineStr">
        <is>
          <t>2nd Floor</t>
        </is>
      </c>
      <c r="C171" s="7" t="inlineStr">
        <is>
          <t>Bathroom 2</t>
        </is>
      </c>
      <c r="D171" s="7" t="inlineStr">
        <is>
          <t>Shower Drain</t>
        </is>
      </c>
      <c r="E171" s="7" t="n"/>
      <c r="F171" s="7" t="n"/>
      <c r="G171" s="7" t="n"/>
      <c r="H171" s="7" t="n"/>
      <c r="I171" s="8" t="n"/>
      <c r="J171" s="8" t="n"/>
      <c r="K171" s="8" t="n"/>
      <c r="L171" s="8" t="inlineStr">
        <is>
          <t>Not run</t>
        </is>
      </c>
      <c r="M171" s="8" t="n"/>
      <c r="N171" s="8" t="n"/>
      <c r="O171" s="7" t="n"/>
      <c r="P171" s="7" t="inlineStr">
        <is>
          <t>Yes</t>
        </is>
      </c>
      <c r="Q171" t="inlineStr">
        <is>
          <t>Proposed</t>
        </is>
      </c>
      <c r="R171" s="20" t="n"/>
      <c r="S171" s="39" t="n"/>
    </row>
    <row r="172">
      <c r="A172" s="7" t="inlineStr">
        <is>
          <t>UH-101</t>
        </is>
      </c>
      <c r="B172" s="7" t="inlineStr">
        <is>
          <t>2nd Floor</t>
        </is>
      </c>
      <c r="C172" s="7" t="inlineStr">
        <is>
          <t>Bathroom 2</t>
        </is>
      </c>
      <c r="D172" s="7" t="inlineStr">
        <is>
          <t>Vanity Mirror</t>
        </is>
      </c>
      <c r="E172" s="7" t="n"/>
      <c r="F172" s="7" t="n"/>
      <c r="G172" s="7" t="n"/>
      <c r="H172" s="7" t="n"/>
      <c r="I172" s="8" t="n"/>
      <c r="J172" s="8" t="n"/>
      <c r="K172" s="8" t="n"/>
      <c r="L172" s="8" t="inlineStr">
        <is>
          <t>Not run</t>
        </is>
      </c>
      <c r="M172" s="8" t="n"/>
      <c r="N172" s="8" t="n"/>
      <c r="O172" s="7" t="n"/>
      <c r="P172" s="7" t="inlineStr">
        <is>
          <t>Yes</t>
        </is>
      </c>
      <c r="Q172" t="inlineStr">
        <is>
          <t>Proposed</t>
        </is>
      </c>
      <c r="R172" s="20" t="n"/>
      <c r="S172" s="39" t="n"/>
    </row>
    <row r="173">
      <c r="A173" s="7" t="inlineStr">
        <is>
          <t>UH-101</t>
        </is>
      </c>
      <c r="B173" s="7" t="inlineStr">
        <is>
          <t>2nd Floor</t>
        </is>
      </c>
      <c r="C173" s="7" t="inlineStr">
        <is>
          <t>Bathroom 2</t>
        </is>
      </c>
      <c r="D173" s="7" t="inlineStr">
        <is>
          <t>Bathroom Sink</t>
        </is>
      </c>
      <c r="E173" s="7" t="n"/>
      <c r="F173" s="7" t="n"/>
      <c r="G173" s="7" t="n"/>
      <c r="H173" s="7" t="n"/>
      <c r="I173" s="8" t="n"/>
      <c r="J173" s="8" t="n"/>
      <c r="K173" s="8" t="n"/>
      <c r="L173" s="8" t="inlineStr">
        <is>
          <t>Not run</t>
        </is>
      </c>
      <c r="M173" s="8" t="n"/>
      <c r="N173" s="8" t="n"/>
      <c r="O173" s="7" t="n"/>
      <c r="P173" s="7" t="inlineStr">
        <is>
          <t>Yes</t>
        </is>
      </c>
      <c r="Q173" t="inlineStr">
        <is>
          <t>Proposed</t>
        </is>
      </c>
      <c r="R173" s="20" t="n"/>
      <c r="S173" s="39" t="n"/>
    </row>
    <row r="174">
      <c r="A174" s="7" t="inlineStr">
        <is>
          <t>UH-101</t>
        </is>
      </c>
      <c r="B174" s="7" t="inlineStr">
        <is>
          <t>2nd Floor</t>
        </is>
      </c>
      <c r="C174" s="7" t="inlineStr">
        <is>
          <t>Bathroom 2</t>
        </is>
      </c>
      <c r="D174" s="7" t="inlineStr">
        <is>
          <t>Sink Faucet</t>
        </is>
      </c>
      <c r="E174" s="7" t="n"/>
      <c r="F174" s="7" t="n"/>
      <c r="G174" s="7" t="n"/>
      <c r="H174" s="7" t="n"/>
      <c r="I174" s="8" t="n"/>
      <c r="J174" s="8" t="n"/>
      <c r="K174" s="8" t="n"/>
      <c r="L174" s="8" t="inlineStr">
        <is>
          <t>Not run</t>
        </is>
      </c>
      <c r="M174" s="8" t="n"/>
      <c r="N174" s="8" t="n"/>
      <c r="O174" s="7" t="n"/>
      <c r="P174" s="7" t="inlineStr">
        <is>
          <t>Yes</t>
        </is>
      </c>
      <c r="Q174" t="inlineStr">
        <is>
          <t>Proposed</t>
        </is>
      </c>
      <c r="R174" s="20" t="n"/>
      <c r="S174" s="39" t="n"/>
    </row>
    <row r="175">
      <c r="A175" s="7" t="inlineStr">
        <is>
          <t>UH-101</t>
        </is>
      </c>
      <c r="B175" s="7" t="inlineStr">
        <is>
          <t>2nd Floor</t>
        </is>
      </c>
      <c r="C175" s="7" t="inlineStr">
        <is>
          <t>Bathroom 2</t>
        </is>
      </c>
      <c r="D175" s="7" t="inlineStr">
        <is>
          <t>Towel Ring</t>
        </is>
      </c>
      <c r="E175" s="7" t="n"/>
      <c r="F175" s="7" t="n"/>
      <c r="G175" s="7" t="n"/>
      <c r="H175" s="7" t="n"/>
      <c r="I175" s="8" t="n"/>
      <c r="J175" s="8" t="n"/>
      <c r="K175" s="8" t="n"/>
      <c r="L175" s="8" t="inlineStr">
        <is>
          <t>Not run</t>
        </is>
      </c>
      <c r="M175" s="8" t="n"/>
      <c r="N175" s="8" t="n"/>
      <c r="O175" s="7" t="n"/>
      <c r="P175" s="7" t="inlineStr">
        <is>
          <t>Yes</t>
        </is>
      </c>
      <c r="Q175" t="inlineStr">
        <is>
          <t>Proposed</t>
        </is>
      </c>
      <c r="R175" s="20" t="n"/>
      <c r="S175" s="39" t="n"/>
    </row>
    <row r="176">
      <c r="A176" s="7" t="inlineStr">
        <is>
          <t>UH-101</t>
        </is>
      </c>
      <c r="B176" s="7" t="inlineStr">
        <is>
          <t>2nd Floor</t>
        </is>
      </c>
      <c r="C176" s="7" t="inlineStr">
        <is>
          <t>Bathroom 2</t>
        </is>
      </c>
      <c r="D176" s="7" t="inlineStr">
        <is>
          <t>Towel Bar 24"</t>
        </is>
      </c>
      <c r="E176" s="7" t="n"/>
      <c r="F176" s="7" t="n"/>
      <c r="G176" s="7" t="n"/>
      <c r="H176" s="7" t="n"/>
      <c r="I176" s="8" t="n"/>
      <c r="J176" s="8" t="n"/>
      <c r="K176" s="8" t="n"/>
      <c r="L176" s="8" t="inlineStr">
        <is>
          <t>Not run</t>
        </is>
      </c>
      <c r="M176" s="8" t="n"/>
      <c r="N176" s="8" t="n"/>
      <c r="O176" s="7" t="n"/>
      <c r="P176" s="7" t="inlineStr">
        <is>
          <t>Yes</t>
        </is>
      </c>
      <c r="Q176" t="inlineStr">
        <is>
          <t>Proposed</t>
        </is>
      </c>
      <c r="R176" s="20" t="n"/>
      <c r="S176" s="39" t="n"/>
    </row>
    <row r="177">
      <c r="A177" s="7" t="inlineStr">
        <is>
          <t>UH-101</t>
        </is>
      </c>
      <c r="B177" s="7" t="inlineStr">
        <is>
          <t>2nd Floor</t>
        </is>
      </c>
      <c r="C177" s="7" t="inlineStr">
        <is>
          <t>Bathroom 2</t>
        </is>
      </c>
      <c r="D177" s="7" t="inlineStr">
        <is>
          <t>Flush Toilet</t>
        </is>
      </c>
      <c r="E177" s="7" t="n"/>
      <c r="F177" s="7" t="n"/>
      <c r="G177" s="7" t="n"/>
      <c r="H177" s="7" t="n"/>
      <c r="I177" s="8" t="n"/>
      <c r="J177" s="8" t="n"/>
      <c r="K177" s="8" t="n"/>
      <c r="L177" s="8" t="inlineStr">
        <is>
          <t>Not run</t>
        </is>
      </c>
      <c r="M177" s="8" t="n"/>
      <c r="N177" s="8" t="n"/>
      <c r="O177" s="7" t="n"/>
      <c r="P177" s="7" t="inlineStr">
        <is>
          <t>Yes</t>
        </is>
      </c>
      <c r="Q177" t="inlineStr">
        <is>
          <t>Proposed</t>
        </is>
      </c>
      <c r="R177" s="20" t="n"/>
      <c r="S177" s="39" t="n"/>
    </row>
    <row r="178">
      <c r="A178" s="7" t="inlineStr">
        <is>
          <t>UH-101</t>
        </is>
      </c>
      <c r="B178" s="7" t="inlineStr">
        <is>
          <t>2nd Floor</t>
        </is>
      </c>
      <c r="C178" s="7" t="inlineStr">
        <is>
          <t>Bathroom 2</t>
        </is>
      </c>
      <c r="D178" s="7" t="inlineStr">
        <is>
          <t>Toilet Paper Holder</t>
        </is>
      </c>
      <c r="E178" s="7" t="n"/>
      <c r="F178" s="7" t="n"/>
      <c r="G178" s="7" t="n"/>
      <c r="H178" s="7" t="n"/>
      <c r="I178" s="8" t="n"/>
      <c r="J178" s="8" t="n"/>
      <c r="K178" s="8" t="n"/>
      <c r="L178" s="8" t="inlineStr">
        <is>
          <t>Not run</t>
        </is>
      </c>
      <c r="M178" s="8" t="n"/>
      <c r="N178" s="8" t="n"/>
      <c r="O178" s="7" t="n"/>
      <c r="P178" s="7" t="inlineStr">
        <is>
          <t>Yes</t>
        </is>
      </c>
      <c r="Q178" t="inlineStr">
        <is>
          <t>Proposed</t>
        </is>
      </c>
      <c r="R178" s="20" t="n"/>
      <c r="S178" s="39" t="n"/>
    </row>
    <row r="179">
      <c r="A179" s="7" t="inlineStr">
        <is>
          <t>UH-101</t>
        </is>
      </c>
      <c r="B179" s="7" t="inlineStr">
        <is>
          <t>2nd Floor</t>
        </is>
      </c>
      <c r="C179" s="7" t="inlineStr">
        <is>
          <t>Bathroom 2</t>
        </is>
      </c>
      <c r="D179" s="7" t="inlineStr">
        <is>
          <t>Toilet Lever</t>
        </is>
      </c>
      <c r="E179" s="7" t="n"/>
      <c r="F179" s="7" t="n"/>
      <c r="G179" s="7" t="n"/>
      <c r="H179" s="7" t="n"/>
      <c r="I179" s="8" t="n"/>
      <c r="J179" s="8" t="n"/>
      <c r="K179" s="8" t="n"/>
      <c r="L179" s="8" t="inlineStr">
        <is>
          <t>Not run</t>
        </is>
      </c>
      <c r="M179" s="8" t="n"/>
      <c r="N179" s="8" t="n"/>
      <c r="O179" s="7" t="n"/>
      <c r="P179" s="7" t="inlineStr">
        <is>
          <t>Yes</t>
        </is>
      </c>
      <c r="Q179" t="inlineStr">
        <is>
          <t>Proposed</t>
        </is>
      </c>
      <c r="R179" s="20" t="n"/>
      <c r="S179" s="39" t="n"/>
    </row>
    <row r="180">
      <c r="A180" s="7" t="inlineStr">
        <is>
          <t>UH-101</t>
        </is>
      </c>
      <c r="B180" s="7" t="inlineStr">
        <is>
          <t>2nd Floor</t>
        </is>
      </c>
      <c r="C180" s="7" t="inlineStr">
        <is>
          <t>Bathroom 2</t>
        </is>
      </c>
      <c r="D180" s="7" t="inlineStr">
        <is>
          <t>Exhaust Fan</t>
        </is>
      </c>
      <c r="E180" s="7" t="n"/>
      <c r="F180" s="7" t="n"/>
      <c r="G180" s="7" t="n"/>
      <c r="H180" s="7" t="n"/>
      <c r="I180" s="8" t="n"/>
      <c r="J180" s="8" t="n"/>
      <c r="K180" s="8" t="n"/>
      <c r="L180" s="8" t="inlineStr">
        <is>
          <t>Not run</t>
        </is>
      </c>
      <c r="M180" s="8" t="n"/>
      <c r="N180" s="8" t="n"/>
      <c r="O180" s="7" t="n"/>
      <c r="P180" s="7" t="inlineStr">
        <is>
          <t>Yes</t>
        </is>
      </c>
      <c r="Q180" t="inlineStr">
        <is>
          <t>Proposed</t>
        </is>
      </c>
      <c r="R180" s="20" t="n"/>
      <c r="S180" s="39" t="n"/>
    </row>
    <row r="181">
      <c r="A181" s="7" t="inlineStr">
        <is>
          <t>UH-101</t>
        </is>
      </c>
      <c r="B181" s="7" t="inlineStr">
        <is>
          <t>2nd Floor</t>
        </is>
      </c>
      <c r="C181" s="7" t="inlineStr">
        <is>
          <t>Bathroom 2</t>
        </is>
      </c>
      <c r="D181" s="7" t="inlineStr">
        <is>
          <t>Light Fixture</t>
        </is>
      </c>
      <c r="E181" s="7" t="n"/>
      <c r="F181" s="7" t="n"/>
      <c r="G181" s="7" t="n"/>
      <c r="H181" s="7" t="n"/>
      <c r="I181" s="8" t="n"/>
      <c r="J181" s="8" t="n"/>
      <c r="K181" s="8" t="n"/>
      <c r="L181" s="8" t="inlineStr">
        <is>
          <t>Not run</t>
        </is>
      </c>
      <c r="M181" s="8" t="n"/>
      <c r="N181" s="8" t="n"/>
      <c r="O181" s="7" t="n"/>
      <c r="P181" s="7" t="inlineStr">
        <is>
          <t>Yes</t>
        </is>
      </c>
      <c r="Q181" t="inlineStr">
        <is>
          <t>Proposed</t>
        </is>
      </c>
      <c r="R181" s="20" t="n"/>
      <c r="S181" s="39" t="n"/>
    </row>
    <row r="182">
      <c r="A182" s="7" t="inlineStr">
        <is>
          <t>UH-101</t>
        </is>
      </c>
      <c r="B182" s="7" t="inlineStr">
        <is>
          <t>2nd Floor</t>
        </is>
      </c>
      <c r="C182" s="7" t="inlineStr">
        <is>
          <t>Bathroom 2</t>
        </is>
      </c>
      <c r="D182" s="7" t="inlineStr">
        <is>
          <t>Interior Door</t>
        </is>
      </c>
      <c r="E182" s="7" t="n"/>
      <c r="F182" s="7" t="n"/>
      <c r="G182" s="7" t="n"/>
      <c r="H182" s="7" t="n"/>
      <c r="I182" s="8" t="n"/>
      <c r="J182" s="8" t="n"/>
      <c r="K182" s="8" t="n"/>
      <c r="L182" s="8" t="inlineStr">
        <is>
          <t>Not run</t>
        </is>
      </c>
      <c r="M182" s="8" t="n"/>
      <c r="N182" s="8" t="n"/>
      <c r="O182" s="7" t="n"/>
      <c r="P182" s="7" t="inlineStr">
        <is>
          <t>Yes</t>
        </is>
      </c>
      <c r="Q182" t="inlineStr">
        <is>
          <t>Proposed</t>
        </is>
      </c>
      <c r="R182" s="20" t="n"/>
      <c r="S182" s="39" t="n"/>
    </row>
    <row r="183">
      <c r="A183" s="7" t="inlineStr">
        <is>
          <t>UH-101</t>
        </is>
      </c>
      <c r="B183" s="7" t="inlineStr">
        <is>
          <t>2nd Floor</t>
        </is>
      </c>
      <c r="C183" s="7" t="inlineStr">
        <is>
          <t>Bathroom 2</t>
        </is>
      </c>
      <c r="D183" s="7" t="inlineStr">
        <is>
          <t>Door Stopper</t>
        </is>
      </c>
      <c r="E183" s="7" t="n"/>
      <c r="F183" s="7" t="n"/>
      <c r="G183" s="7" t="n"/>
      <c r="H183" s="7" t="n"/>
      <c r="I183" s="8" t="n"/>
      <c r="J183" s="8" t="n"/>
      <c r="K183" s="8" t="n"/>
      <c r="L183" s="8" t="inlineStr">
        <is>
          <t>Not run</t>
        </is>
      </c>
      <c r="M183" s="8" t="n"/>
      <c r="N183" s="8" t="n"/>
      <c r="O183" s="7" t="n"/>
      <c r="P183" s="7" t="inlineStr">
        <is>
          <t>Yes</t>
        </is>
      </c>
      <c r="Q183" t="inlineStr">
        <is>
          <t>Proposed</t>
        </is>
      </c>
      <c r="R183" s="20" t="n"/>
      <c r="S183" s="39" t="n"/>
    </row>
    <row r="184">
      <c r="A184" s="7" t="inlineStr">
        <is>
          <t>UH-101</t>
        </is>
      </c>
      <c r="B184" s="7" t="inlineStr">
        <is>
          <t>2nd Floor</t>
        </is>
      </c>
      <c r="C184" s="7" t="inlineStr">
        <is>
          <t>Bedroom 3</t>
        </is>
      </c>
      <c r="D184" s="7" t="inlineStr">
        <is>
          <t>Flooring</t>
        </is>
      </c>
      <c r="E184" s="7" t="n"/>
      <c r="F184" s="7" t="n"/>
      <c r="G184" s="7" t="n"/>
      <c r="H184" s="7" t="n"/>
      <c r="I184" s="8" t="n"/>
      <c r="J184" s="8" t="n"/>
      <c r="K184" s="8" t="n"/>
      <c r="L184" s="8" t="inlineStr">
        <is>
          <t>Not run</t>
        </is>
      </c>
      <c r="M184" s="8" t="n"/>
      <c r="N184" s="8" t="n"/>
      <c r="O184" s="7" t="n"/>
      <c r="P184" s="7" t="inlineStr">
        <is>
          <t>Yes</t>
        </is>
      </c>
      <c r="Q184" t="inlineStr">
        <is>
          <t>Proposed</t>
        </is>
      </c>
      <c r="R184" s="20" t="n"/>
      <c r="S184" s="39" t="n"/>
    </row>
    <row r="185">
      <c r="A185" s="7" t="inlineStr">
        <is>
          <t>UH-101</t>
        </is>
      </c>
      <c r="B185" s="7" t="inlineStr">
        <is>
          <t>2nd Floor</t>
        </is>
      </c>
      <c r="C185" s="7" t="inlineStr">
        <is>
          <t>Bedroom 3</t>
        </is>
      </c>
      <c r="D185" s="7" t="inlineStr">
        <is>
          <t>Light Fixture - Fan</t>
        </is>
      </c>
      <c r="E185" s="7" t="n"/>
      <c r="F185" s="7" t="n"/>
      <c r="G185" s="7" t="n"/>
      <c r="H185" s="7" t="n"/>
      <c r="I185" s="8" t="n"/>
      <c r="J185" s="8" t="n"/>
      <c r="K185" s="8" t="n"/>
      <c r="L185" s="8" t="inlineStr">
        <is>
          <t>Not run</t>
        </is>
      </c>
      <c r="M185" s="8" t="n"/>
      <c r="N185" s="8" t="n"/>
      <c r="O185" s="7" t="n"/>
      <c r="P185" s="7" t="inlineStr">
        <is>
          <t>Yes</t>
        </is>
      </c>
      <c r="Q185" t="inlineStr">
        <is>
          <t>Proposed</t>
        </is>
      </c>
      <c r="R185" s="20" t="n"/>
      <c r="S185" s="39" t="n"/>
    </row>
    <row r="186">
      <c r="A186" s="7" t="inlineStr">
        <is>
          <t>UH-101</t>
        </is>
      </c>
      <c r="B186" s="7" t="inlineStr">
        <is>
          <t>2nd Floor</t>
        </is>
      </c>
      <c r="C186" s="7" t="inlineStr">
        <is>
          <t>Bedroom 3</t>
        </is>
      </c>
      <c r="D186" s="7" t="inlineStr">
        <is>
          <t>Interior Door</t>
        </is>
      </c>
      <c r="E186" s="7" t="n"/>
      <c r="F186" s="7" t="n"/>
      <c r="G186" s="7" t="n"/>
      <c r="H186" s="7" t="n"/>
      <c r="I186" s="8" t="n"/>
      <c r="J186" s="8" t="n"/>
      <c r="K186" s="8" t="n"/>
      <c r="L186" s="8" t="inlineStr">
        <is>
          <t>Not run</t>
        </is>
      </c>
      <c r="M186" s="8" t="n"/>
      <c r="N186" s="8" t="n"/>
      <c r="O186" s="7" t="n"/>
      <c r="P186" s="7" t="inlineStr">
        <is>
          <t>Yes</t>
        </is>
      </c>
      <c r="Q186" t="inlineStr">
        <is>
          <t>Proposed</t>
        </is>
      </c>
      <c r="R186" s="20" t="n"/>
      <c r="S186" s="39" t="n"/>
    </row>
    <row r="187">
      <c r="A187" s="7" t="inlineStr">
        <is>
          <t>UH-101</t>
        </is>
      </c>
      <c r="B187" s="7" t="inlineStr">
        <is>
          <t>2nd Floor</t>
        </is>
      </c>
      <c r="C187" s="7" t="inlineStr">
        <is>
          <t>Bedroom 3</t>
        </is>
      </c>
      <c r="D187" s="7" t="inlineStr">
        <is>
          <t>Door Stopper</t>
        </is>
      </c>
      <c r="E187" s="7" t="n"/>
      <c r="F187" s="7" t="n"/>
      <c r="G187" s="7" t="n"/>
      <c r="H187" s="7" t="n"/>
      <c r="I187" s="8" t="n"/>
      <c r="J187" s="8" t="n"/>
      <c r="K187" s="8" t="n"/>
      <c r="L187" s="8" t="inlineStr">
        <is>
          <t>Not run</t>
        </is>
      </c>
      <c r="M187" s="8" t="n"/>
      <c r="N187" s="8" t="n"/>
      <c r="O187" s="7" t="n"/>
      <c r="P187" s="7" t="inlineStr">
        <is>
          <t>Yes</t>
        </is>
      </c>
      <c r="Q187" t="inlineStr">
        <is>
          <t>Proposed</t>
        </is>
      </c>
      <c r="R187" s="20" t="n"/>
      <c r="S187" s="39" t="n"/>
    </row>
    <row r="188">
      <c r="A188" s="7" t="inlineStr">
        <is>
          <t>UH-101</t>
        </is>
      </c>
      <c r="B188" s="7" t="inlineStr">
        <is>
          <t>2nd Floor</t>
        </is>
      </c>
      <c r="C188" s="7" t="inlineStr">
        <is>
          <t>Bathroom 3</t>
        </is>
      </c>
      <c r="D188" s="7" t="inlineStr">
        <is>
          <t>Flooring - Bath</t>
        </is>
      </c>
      <c r="E188" s="7" t="n"/>
      <c r="F188" s="7" t="n"/>
      <c r="G188" s="7" t="n"/>
      <c r="H188" s="7" t="n"/>
      <c r="I188" s="8" t="n"/>
      <c r="J188" s="8" t="n"/>
      <c r="K188" s="8" t="n"/>
      <c r="L188" s="8" t="inlineStr">
        <is>
          <t>Not run</t>
        </is>
      </c>
      <c r="M188" s="8" t="n"/>
      <c r="N188" s="8" t="n"/>
      <c r="O188" s="7" t="n"/>
      <c r="P188" s="7" t="inlineStr">
        <is>
          <t>Yes</t>
        </is>
      </c>
      <c r="Q188" t="inlineStr">
        <is>
          <t>Proposed</t>
        </is>
      </c>
      <c r="R188" s="20" t="n"/>
      <c r="S188" s="39" t="n"/>
    </row>
    <row r="189">
      <c r="A189" s="7" t="inlineStr">
        <is>
          <t>UH-101</t>
        </is>
      </c>
      <c r="B189" s="7" t="inlineStr">
        <is>
          <t>2nd Floor</t>
        </is>
      </c>
      <c r="C189" s="7" t="inlineStr">
        <is>
          <t>Bathroom 3</t>
        </is>
      </c>
      <c r="D189" s="7" t="inlineStr">
        <is>
          <t>Flooring - Shower Floor</t>
        </is>
      </c>
      <c r="E189" s="7" t="n"/>
      <c r="F189" s="7" t="n"/>
      <c r="G189" s="7" t="n"/>
      <c r="H189" s="7" t="n"/>
      <c r="I189" s="8" t="n"/>
      <c r="J189" s="8" t="n"/>
      <c r="K189" s="8" t="n"/>
      <c r="L189" s="8" t="inlineStr">
        <is>
          <t>Not run</t>
        </is>
      </c>
      <c r="M189" s="8" t="n"/>
      <c r="N189" s="8" t="n"/>
      <c r="O189" s="7" t="n"/>
      <c r="P189" s="7" t="inlineStr">
        <is>
          <t>Yes</t>
        </is>
      </c>
      <c r="Q189" t="inlineStr">
        <is>
          <t>Proposed</t>
        </is>
      </c>
      <c r="R189" s="20" t="n"/>
      <c r="S189" s="39" t="n"/>
    </row>
    <row r="190">
      <c r="A190" s="7" t="inlineStr">
        <is>
          <t>UH-101</t>
        </is>
      </c>
      <c r="B190" s="7" t="inlineStr">
        <is>
          <t>2nd Floor</t>
        </is>
      </c>
      <c r="C190" s="7" t="inlineStr">
        <is>
          <t>Bathroom 3</t>
        </is>
      </c>
      <c r="D190" s="7" t="inlineStr">
        <is>
          <t>Backsplash - Shower</t>
        </is>
      </c>
      <c r="E190" s="7" t="n"/>
      <c r="F190" s="7" t="n"/>
      <c r="G190" s="7" t="n"/>
      <c r="H190" s="7" t="n"/>
      <c r="I190" s="8" t="n"/>
      <c r="J190" s="8" t="n"/>
      <c r="K190" s="8" t="n"/>
      <c r="L190" s="8" t="inlineStr">
        <is>
          <t>Not run</t>
        </is>
      </c>
      <c r="M190" s="8" t="n"/>
      <c r="N190" s="8" t="n"/>
      <c r="O190" s="7" t="n"/>
      <c r="P190" s="7" t="inlineStr">
        <is>
          <t>Yes</t>
        </is>
      </c>
      <c r="Q190" t="inlineStr">
        <is>
          <t>Proposed</t>
        </is>
      </c>
      <c r="R190" s="20" t="n"/>
      <c r="S190" s="39" t="n"/>
    </row>
    <row r="191">
      <c r="A191" s="7" t="inlineStr">
        <is>
          <t>UH-101</t>
        </is>
      </c>
      <c r="B191" s="7" t="inlineStr">
        <is>
          <t>2nd Floor</t>
        </is>
      </c>
      <c r="C191" s="7" t="inlineStr">
        <is>
          <t>Bathroom 3</t>
        </is>
      </c>
      <c r="D191" s="7" t="inlineStr">
        <is>
          <t>Flooring - WIC</t>
        </is>
      </c>
      <c r="E191" s="7" t="n"/>
      <c r="F191" s="7" t="n"/>
      <c r="G191" s="7" t="n"/>
      <c r="H191" s="7" t="n"/>
      <c r="I191" s="8" t="n"/>
      <c r="J191" s="8" t="n"/>
      <c r="K191" s="8" t="n"/>
      <c r="L191" s="8" t="inlineStr">
        <is>
          <t>Not run</t>
        </is>
      </c>
      <c r="M191" s="8" t="n"/>
      <c r="N191" s="8" t="n"/>
      <c r="O191" s="7" t="n"/>
      <c r="P191" s="7" t="inlineStr">
        <is>
          <t>Yes</t>
        </is>
      </c>
      <c r="Q191" t="inlineStr">
        <is>
          <t>Proposed</t>
        </is>
      </c>
      <c r="R191" s="20" t="n"/>
      <c r="S191" s="39" t="n"/>
    </row>
    <row r="192">
      <c r="A192" s="7" t="inlineStr">
        <is>
          <t>UH-101</t>
        </is>
      </c>
      <c r="B192" s="7" t="inlineStr">
        <is>
          <t>2nd Floor</t>
        </is>
      </c>
      <c r="C192" s="7" t="inlineStr">
        <is>
          <t>Bathroom 3</t>
        </is>
      </c>
      <c r="D192" s="7" t="inlineStr">
        <is>
          <t>Counter top</t>
        </is>
      </c>
      <c r="E192" s="7" t="n"/>
      <c r="F192" s="7" t="n"/>
      <c r="G192" s="7" t="n"/>
      <c r="H192" s="7" t="n"/>
      <c r="I192" s="8" t="n"/>
      <c r="J192" s="8" t="n"/>
      <c r="K192" s="8" t="n"/>
      <c r="L192" s="8" t="inlineStr">
        <is>
          <t>Not run</t>
        </is>
      </c>
      <c r="M192" s="8" t="n"/>
      <c r="N192" s="8" t="n"/>
      <c r="O192" s="7" t="n"/>
      <c r="P192" s="7" t="inlineStr">
        <is>
          <t>Yes</t>
        </is>
      </c>
      <c r="Q192" t="inlineStr">
        <is>
          <t>Proposed</t>
        </is>
      </c>
      <c r="R192" s="20" t="n"/>
      <c r="S192" s="39" t="n"/>
    </row>
    <row r="193">
      <c r="A193" s="7" t="inlineStr">
        <is>
          <t>UH-101</t>
        </is>
      </c>
      <c r="B193" s="7" t="inlineStr">
        <is>
          <t>2nd Floor</t>
        </is>
      </c>
      <c r="C193" s="7" t="inlineStr">
        <is>
          <t>Bathroom 3</t>
        </is>
      </c>
      <c r="D193" s="7" t="inlineStr">
        <is>
          <t>Shower Glass</t>
        </is>
      </c>
      <c r="E193" s="7" t="n"/>
      <c r="F193" s="7" t="n"/>
      <c r="G193" s="7" t="n"/>
      <c r="H193" s="7" t="n"/>
      <c r="I193" s="8" t="n"/>
      <c r="J193" s="8" t="n"/>
      <c r="K193" s="8" t="n"/>
      <c r="L193" s="8" t="inlineStr">
        <is>
          <t>Not run</t>
        </is>
      </c>
      <c r="M193" s="8" t="n"/>
      <c r="N193" s="8" t="n"/>
      <c r="O193" s="7" t="n"/>
      <c r="P193" s="7" t="inlineStr">
        <is>
          <t>Yes</t>
        </is>
      </c>
      <c r="Q193" t="inlineStr">
        <is>
          <t>Proposed</t>
        </is>
      </c>
      <c r="R193" s="20" t="n"/>
      <c r="S193" s="39" t="n"/>
    </row>
    <row r="194">
      <c r="A194" s="7" t="inlineStr">
        <is>
          <t>UH-101</t>
        </is>
      </c>
      <c r="B194" s="7" t="inlineStr">
        <is>
          <t>2nd Floor</t>
        </is>
      </c>
      <c r="C194" s="7" t="inlineStr">
        <is>
          <t>Bathroom 3</t>
        </is>
      </c>
      <c r="D194" s="7" t="inlineStr">
        <is>
          <t>Shower Head &amp; Valve</t>
        </is>
      </c>
      <c r="E194" s="7" t="n"/>
      <c r="F194" s="7" t="n"/>
      <c r="G194" s="7" t="n"/>
      <c r="H194" s="7" t="n"/>
      <c r="I194" s="8" t="n"/>
      <c r="J194" s="8" t="n"/>
      <c r="K194" s="8" t="n"/>
      <c r="L194" s="8" t="inlineStr">
        <is>
          <t>Not run</t>
        </is>
      </c>
      <c r="M194" s="8" t="n"/>
      <c r="N194" s="8" t="n"/>
      <c r="O194" s="7" t="n"/>
      <c r="P194" s="7" t="inlineStr">
        <is>
          <t>Yes</t>
        </is>
      </c>
      <c r="Q194" t="inlineStr">
        <is>
          <t>Proposed</t>
        </is>
      </c>
      <c r="R194" s="20" t="n"/>
      <c r="S194" s="39" t="n"/>
    </row>
    <row r="195">
      <c r="A195" s="7" t="inlineStr">
        <is>
          <t>UH-101</t>
        </is>
      </c>
      <c r="B195" s="7" t="inlineStr">
        <is>
          <t>2nd Floor</t>
        </is>
      </c>
      <c r="C195" s="7" t="inlineStr">
        <is>
          <t>Bathroom 3</t>
        </is>
      </c>
      <c r="D195" s="7" t="inlineStr">
        <is>
          <t>Shower Drain</t>
        </is>
      </c>
      <c r="E195" s="7" t="n"/>
      <c r="F195" s="7" t="n"/>
      <c r="G195" s="7" t="n"/>
      <c r="H195" s="7" t="n"/>
      <c r="I195" s="8" t="n"/>
      <c r="J195" s="8" t="n"/>
      <c r="K195" s="8" t="n"/>
      <c r="L195" s="8" t="inlineStr">
        <is>
          <t>Not run</t>
        </is>
      </c>
      <c r="M195" s="8" t="n"/>
      <c r="N195" s="8" t="n"/>
      <c r="O195" s="7" t="n"/>
      <c r="P195" s="7" t="inlineStr">
        <is>
          <t>Yes</t>
        </is>
      </c>
      <c r="Q195" t="inlineStr">
        <is>
          <t>Proposed</t>
        </is>
      </c>
      <c r="R195" s="20" t="n"/>
      <c r="S195" s="39" t="n"/>
    </row>
    <row r="196">
      <c r="A196" s="7" t="inlineStr">
        <is>
          <t>UH-101</t>
        </is>
      </c>
      <c r="B196" s="7" t="inlineStr">
        <is>
          <t>2nd Floor</t>
        </is>
      </c>
      <c r="C196" s="7" t="inlineStr">
        <is>
          <t>Bathroom 3</t>
        </is>
      </c>
      <c r="D196" s="7" t="inlineStr">
        <is>
          <t>Vanity Mirror</t>
        </is>
      </c>
      <c r="E196" s="7" t="n"/>
      <c r="F196" s="7" t="n"/>
      <c r="G196" s="7" t="n"/>
      <c r="H196" s="7" t="n"/>
      <c r="I196" s="8" t="n"/>
      <c r="J196" s="8" t="n"/>
      <c r="K196" s="8" t="n"/>
      <c r="L196" s="8" t="inlineStr">
        <is>
          <t>Not run</t>
        </is>
      </c>
      <c r="M196" s="8" t="n"/>
      <c r="N196" s="8" t="n"/>
      <c r="O196" s="7" t="n"/>
      <c r="P196" s="7" t="inlineStr">
        <is>
          <t>Yes</t>
        </is>
      </c>
      <c r="Q196" t="inlineStr">
        <is>
          <t>Proposed</t>
        </is>
      </c>
      <c r="R196" s="20" t="n"/>
      <c r="S196" s="39" t="n"/>
    </row>
    <row r="197">
      <c r="A197" s="7" t="inlineStr">
        <is>
          <t>UH-101</t>
        </is>
      </c>
      <c r="B197" s="7" t="inlineStr">
        <is>
          <t>2nd Floor</t>
        </is>
      </c>
      <c r="C197" s="7" t="inlineStr">
        <is>
          <t>Bathroom 3</t>
        </is>
      </c>
      <c r="D197" s="7" t="inlineStr">
        <is>
          <t>Bathroom Sink</t>
        </is>
      </c>
      <c r="E197" s="7" t="n"/>
      <c r="F197" s="7" t="n"/>
      <c r="G197" s="7" t="n"/>
      <c r="H197" s="7" t="n"/>
      <c r="I197" s="8" t="n"/>
      <c r="J197" s="8" t="n"/>
      <c r="K197" s="8" t="n"/>
      <c r="L197" s="8" t="inlineStr">
        <is>
          <t>Not run</t>
        </is>
      </c>
      <c r="M197" s="8" t="n"/>
      <c r="N197" s="8" t="n"/>
      <c r="O197" s="7" t="n"/>
      <c r="P197" s="7" t="inlineStr">
        <is>
          <t>Yes</t>
        </is>
      </c>
      <c r="Q197" t="inlineStr">
        <is>
          <t>Proposed</t>
        </is>
      </c>
      <c r="R197" s="20" t="n"/>
      <c r="S197" s="39" t="n"/>
    </row>
    <row r="198">
      <c r="A198" s="7" t="inlineStr">
        <is>
          <t>UH-101</t>
        </is>
      </c>
      <c r="B198" s="7" t="inlineStr">
        <is>
          <t>2nd Floor</t>
        </is>
      </c>
      <c r="C198" s="7" t="inlineStr">
        <is>
          <t>Bathroom 3</t>
        </is>
      </c>
      <c r="D198" s="7" t="inlineStr">
        <is>
          <t>Sink Faucet</t>
        </is>
      </c>
      <c r="E198" s="7" t="n"/>
      <c r="F198" s="7" t="n"/>
      <c r="G198" s="7" t="n"/>
      <c r="H198" s="7" t="n"/>
      <c r="I198" s="8" t="n"/>
      <c r="J198" s="8" t="n"/>
      <c r="K198" s="8" t="n"/>
      <c r="L198" s="8" t="inlineStr">
        <is>
          <t>Not run</t>
        </is>
      </c>
      <c r="M198" s="8" t="n"/>
      <c r="N198" s="8" t="n"/>
      <c r="O198" s="7" t="n"/>
      <c r="P198" s="7" t="inlineStr">
        <is>
          <t>Yes</t>
        </is>
      </c>
      <c r="Q198" t="inlineStr">
        <is>
          <t>Proposed</t>
        </is>
      </c>
      <c r="R198" s="20" t="n"/>
      <c r="S198" s="39" t="n"/>
    </row>
    <row r="199">
      <c r="A199" s="7" t="inlineStr">
        <is>
          <t>UH-101</t>
        </is>
      </c>
      <c r="B199" s="7" t="inlineStr">
        <is>
          <t>2nd Floor</t>
        </is>
      </c>
      <c r="C199" s="7" t="inlineStr">
        <is>
          <t>Bathroom 3</t>
        </is>
      </c>
      <c r="D199" s="7" t="inlineStr">
        <is>
          <t>Towel Ring</t>
        </is>
      </c>
      <c r="E199" s="7" t="n"/>
      <c r="F199" s="7" t="n"/>
      <c r="G199" s="7" t="n"/>
      <c r="H199" s="7" t="n"/>
      <c r="I199" s="8" t="n"/>
      <c r="J199" s="8" t="n"/>
      <c r="K199" s="8" t="n"/>
      <c r="L199" s="8" t="inlineStr">
        <is>
          <t>Not run</t>
        </is>
      </c>
      <c r="M199" s="8" t="n"/>
      <c r="N199" s="8" t="n"/>
      <c r="O199" s="7" t="n"/>
      <c r="P199" s="7" t="inlineStr">
        <is>
          <t>Yes</t>
        </is>
      </c>
      <c r="Q199" t="inlineStr">
        <is>
          <t>Proposed</t>
        </is>
      </c>
      <c r="R199" s="20" t="n"/>
      <c r="S199" s="39" t="n"/>
    </row>
    <row r="200">
      <c r="A200" s="7" t="inlineStr">
        <is>
          <t>UH-101</t>
        </is>
      </c>
      <c r="B200" s="7" t="inlineStr">
        <is>
          <t>2nd Floor</t>
        </is>
      </c>
      <c r="C200" s="7" t="inlineStr">
        <is>
          <t>Bathroom 3</t>
        </is>
      </c>
      <c r="D200" s="7" t="inlineStr">
        <is>
          <t>Towel Bar 24"</t>
        </is>
      </c>
      <c r="E200" s="7" t="n"/>
      <c r="F200" s="7" t="n"/>
      <c r="G200" s="7" t="n"/>
      <c r="H200" s="7" t="n"/>
      <c r="I200" s="8" t="n"/>
      <c r="J200" s="8" t="n"/>
      <c r="K200" s="8" t="n"/>
      <c r="L200" s="8" t="inlineStr">
        <is>
          <t>Not run</t>
        </is>
      </c>
      <c r="M200" s="8" t="n"/>
      <c r="N200" s="8" t="n"/>
      <c r="O200" s="7" t="n"/>
      <c r="P200" s="7" t="inlineStr">
        <is>
          <t>Yes</t>
        </is>
      </c>
      <c r="Q200" t="inlineStr">
        <is>
          <t>Proposed</t>
        </is>
      </c>
      <c r="R200" s="20" t="n"/>
      <c r="S200" s="39" t="n"/>
    </row>
    <row r="201">
      <c r="A201" s="7" t="inlineStr">
        <is>
          <t>UH-101</t>
        </is>
      </c>
      <c r="B201" s="7" t="inlineStr">
        <is>
          <t>2nd Floor</t>
        </is>
      </c>
      <c r="C201" s="7" t="inlineStr">
        <is>
          <t>Bathroom 3</t>
        </is>
      </c>
      <c r="D201" s="7" t="inlineStr">
        <is>
          <t>Flush Toilet</t>
        </is>
      </c>
      <c r="E201" s="7" t="n"/>
      <c r="F201" s="7" t="n"/>
      <c r="G201" s="7" t="n"/>
      <c r="H201" s="7" t="n"/>
      <c r="I201" s="8" t="n"/>
      <c r="J201" s="8" t="n"/>
      <c r="K201" s="8" t="n"/>
      <c r="L201" s="8" t="inlineStr">
        <is>
          <t>Not run</t>
        </is>
      </c>
      <c r="M201" s="8" t="n"/>
      <c r="N201" s="8" t="n"/>
      <c r="O201" s="7" t="n"/>
      <c r="P201" s="7" t="inlineStr">
        <is>
          <t>Yes</t>
        </is>
      </c>
      <c r="Q201" t="inlineStr">
        <is>
          <t>Proposed</t>
        </is>
      </c>
      <c r="R201" s="20" t="n"/>
      <c r="S201" s="39" t="n"/>
    </row>
    <row r="202">
      <c r="A202" s="7" t="inlineStr">
        <is>
          <t>UH-101</t>
        </is>
      </c>
      <c r="B202" s="7" t="inlineStr">
        <is>
          <t>2nd Floor</t>
        </is>
      </c>
      <c r="C202" s="7" t="inlineStr">
        <is>
          <t>Bathroom 3</t>
        </is>
      </c>
      <c r="D202" s="7" t="inlineStr">
        <is>
          <t>Toilet Paper Holder</t>
        </is>
      </c>
      <c r="E202" s="7" t="n"/>
      <c r="F202" s="7" t="n"/>
      <c r="G202" s="7" t="n"/>
      <c r="H202" s="7" t="n"/>
      <c r="I202" s="8" t="n"/>
      <c r="J202" s="8" t="n"/>
      <c r="K202" s="8" t="n"/>
      <c r="L202" s="8" t="inlineStr">
        <is>
          <t>Not run</t>
        </is>
      </c>
      <c r="M202" s="8" t="n"/>
      <c r="N202" s="8" t="n"/>
      <c r="O202" s="7" t="n"/>
      <c r="P202" s="7" t="inlineStr">
        <is>
          <t>Yes</t>
        </is>
      </c>
      <c r="Q202" t="inlineStr">
        <is>
          <t>Proposed</t>
        </is>
      </c>
      <c r="R202" s="20" t="n"/>
      <c r="S202" s="39" t="n"/>
    </row>
    <row r="203">
      <c r="A203" s="7" t="inlineStr">
        <is>
          <t>UH-101</t>
        </is>
      </c>
      <c r="B203" s="7" t="inlineStr">
        <is>
          <t>2nd Floor</t>
        </is>
      </c>
      <c r="C203" s="7" t="inlineStr">
        <is>
          <t>Bathroom 3</t>
        </is>
      </c>
      <c r="D203" s="7" t="inlineStr">
        <is>
          <t>Toilet Lever</t>
        </is>
      </c>
      <c r="E203" s="7" t="n"/>
      <c r="F203" s="7" t="n"/>
      <c r="G203" s="7" t="n"/>
      <c r="H203" s="7" t="n"/>
      <c r="I203" s="8" t="n"/>
      <c r="J203" s="8" t="n"/>
      <c r="K203" s="8" t="n"/>
      <c r="L203" s="8" t="inlineStr">
        <is>
          <t>Not run</t>
        </is>
      </c>
      <c r="M203" s="8" t="n"/>
      <c r="N203" s="8" t="n"/>
      <c r="O203" s="7" t="n"/>
      <c r="P203" s="7" t="inlineStr">
        <is>
          <t>Yes</t>
        </is>
      </c>
      <c r="Q203" t="inlineStr">
        <is>
          <t>Proposed</t>
        </is>
      </c>
      <c r="R203" s="20" t="n"/>
      <c r="S203" s="39" t="n"/>
    </row>
    <row r="204">
      <c r="A204" s="7" t="inlineStr">
        <is>
          <t>UH-101</t>
        </is>
      </c>
      <c r="B204" s="7" t="inlineStr">
        <is>
          <t>2nd Floor</t>
        </is>
      </c>
      <c r="C204" s="7" t="inlineStr">
        <is>
          <t>Bathroom 3</t>
        </is>
      </c>
      <c r="D204" s="7" t="inlineStr">
        <is>
          <t>Exhaust Fan</t>
        </is>
      </c>
      <c r="E204" s="7" t="n"/>
      <c r="F204" s="7" t="n"/>
      <c r="G204" s="7" t="n"/>
      <c r="H204" s="7" t="n"/>
      <c r="I204" s="8" t="n"/>
      <c r="J204" s="8" t="n"/>
      <c r="K204" s="8" t="n"/>
      <c r="L204" s="8" t="inlineStr">
        <is>
          <t>Not run</t>
        </is>
      </c>
      <c r="M204" s="8" t="n"/>
      <c r="N204" s="8" t="n"/>
      <c r="O204" s="7" t="n"/>
      <c r="P204" s="7" t="inlineStr">
        <is>
          <t>Yes</t>
        </is>
      </c>
      <c r="Q204" t="inlineStr">
        <is>
          <t>Proposed</t>
        </is>
      </c>
      <c r="R204" s="20" t="n"/>
      <c r="S204" s="39" t="n"/>
    </row>
    <row r="205">
      <c r="A205" s="7" t="inlineStr">
        <is>
          <t>UH-101</t>
        </is>
      </c>
      <c r="B205" s="7" t="inlineStr">
        <is>
          <t>2nd Floor</t>
        </is>
      </c>
      <c r="C205" s="7" t="inlineStr">
        <is>
          <t>Bathroom 3</t>
        </is>
      </c>
      <c r="D205" s="7" t="inlineStr">
        <is>
          <t>Light Fixture</t>
        </is>
      </c>
      <c r="E205" s="7" t="n"/>
      <c r="F205" s="7" t="n"/>
      <c r="G205" s="7" t="n"/>
      <c r="H205" s="7" t="n"/>
      <c r="I205" s="8" t="n"/>
      <c r="J205" s="8" t="n"/>
      <c r="K205" s="8" t="n"/>
      <c r="L205" s="8" t="inlineStr">
        <is>
          <t>Not run</t>
        </is>
      </c>
      <c r="M205" s="8" t="n"/>
      <c r="N205" s="8" t="n"/>
      <c r="O205" s="7" t="n"/>
      <c r="P205" s="7" t="inlineStr">
        <is>
          <t>Yes</t>
        </is>
      </c>
      <c r="Q205" t="inlineStr">
        <is>
          <t>Proposed</t>
        </is>
      </c>
      <c r="R205" s="20" t="n"/>
      <c r="S205" s="39" t="n"/>
    </row>
    <row r="206">
      <c r="A206" s="7" t="inlineStr">
        <is>
          <t>UH-101</t>
        </is>
      </c>
      <c r="B206" s="7" t="inlineStr">
        <is>
          <t>2nd Floor</t>
        </is>
      </c>
      <c r="C206" s="7" t="inlineStr">
        <is>
          <t>Bathroom 3</t>
        </is>
      </c>
      <c r="D206" s="7" t="inlineStr">
        <is>
          <t>Interior Door</t>
        </is>
      </c>
      <c r="E206" s="7" t="n"/>
      <c r="F206" s="7" t="n"/>
      <c r="G206" s="7" t="n"/>
      <c r="H206" s="7" t="n"/>
      <c r="I206" s="8" t="n"/>
      <c r="J206" s="8" t="n"/>
      <c r="K206" s="8" t="n"/>
      <c r="L206" s="8" t="inlineStr">
        <is>
          <t>Not run</t>
        </is>
      </c>
      <c r="M206" s="8" t="n"/>
      <c r="N206" s="8" t="n"/>
      <c r="O206" s="7" t="n"/>
      <c r="P206" s="7" t="inlineStr">
        <is>
          <t>Yes</t>
        </is>
      </c>
      <c r="Q206" t="inlineStr">
        <is>
          <t>Proposed</t>
        </is>
      </c>
      <c r="R206" s="20" t="n"/>
      <c r="S206" s="39" t="n"/>
    </row>
    <row r="207">
      <c r="A207" s="7" t="inlineStr">
        <is>
          <t>UH-101</t>
        </is>
      </c>
      <c r="B207" s="7" t="inlineStr">
        <is>
          <t>2nd Floor</t>
        </is>
      </c>
      <c r="C207" s="7" t="inlineStr">
        <is>
          <t>Bathroom 3</t>
        </is>
      </c>
      <c r="D207" s="7" t="inlineStr">
        <is>
          <t>Door Stopper</t>
        </is>
      </c>
      <c r="E207" s="7" t="n"/>
      <c r="F207" s="7" t="n"/>
      <c r="G207" s="7" t="n"/>
      <c r="H207" s="7" t="n"/>
      <c r="I207" s="8" t="n"/>
      <c r="J207" s="8" t="n"/>
      <c r="K207" s="8" t="n"/>
      <c r="L207" s="8" t="inlineStr">
        <is>
          <t>Not run</t>
        </is>
      </c>
      <c r="M207" s="8" t="n"/>
      <c r="N207" s="8" t="n"/>
      <c r="O207" s="7" t="n"/>
      <c r="P207" s="7" t="inlineStr">
        <is>
          <t>Yes</t>
        </is>
      </c>
      <c r="Q207" t="inlineStr">
        <is>
          <t>Proposed</t>
        </is>
      </c>
      <c r="R207" s="20" t="n"/>
      <c r="S207" s="39" t="n"/>
    </row>
    <row r="208">
      <c r="A208" s="7" t="inlineStr">
        <is>
          <t>UH-101</t>
        </is>
      </c>
      <c r="B208" s="7" t="inlineStr">
        <is>
          <t>2nd Floor</t>
        </is>
      </c>
      <c r="C208" s="7" t="inlineStr">
        <is>
          <t>Corridor (walkway)</t>
        </is>
      </c>
      <c r="D208" s="7" t="inlineStr">
        <is>
          <t>Flooring</t>
        </is>
      </c>
      <c r="E208" s="7" t="n"/>
      <c r="F208" s="7" t="n"/>
      <c r="G208" s="7" t="n"/>
      <c r="H208" s="7" t="n"/>
      <c r="I208" s="8" t="n"/>
      <c r="J208" s="8" t="n"/>
      <c r="K208" s="8" t="n"/>
      <c r="L208" s="8" t="inlineStr">
        <is>
          <t>Not run</t>
        </is>
      </c>
      <c r="M208" s="8" t="n"/>
      <c r="N208" s="8" t="n"/>
      <c r="O208" s="7" t="n"/>
      <c r="P208" s="7" t="inlineStr">
        <is>
          <t>Yes</t>
        </is>
      </c>
      <c r="Q208" t="inlineStr">
        <is>
          <t>Proposed</t>
        </is>
      </c>
      <c r="R208" s="20" t="n"/>
      <c r="S208" s="39" t="n"/>
    </row>
    <row r="209">
      <c r="A209" s="7" t="inlineStr">
        <is>
          <t>UH-101</t>
        </is>
      </c>
      <c r="B209" s="7" t="inlineStr">
        <is>
          <t>2nd Floor</t>
        </is>
      </c>
      <c r="C209" s="7" t="inlineStr">
        <is>
          <t>Corridor (walkway)</t>
        </is>
      </c>
      <c r="D209" s="7" t="inlineStr">
        <is>
          <t>Doors - Interior</t>
        </is>
      </c>
      <c r="E209" s="7" t="n"/>
      <c r="F209" s="7" t="n"/>
      <c r="G209" s="7" t="n"/>
      <c r="H209" s="7" t="n"/>
      <c r="I209" s="8" t="n"/>
      <c r="J209" s="8" t="n"/>
      <c r="K209" s="8" t="n"/>
      <c r="L209" s="8" t="inlineStr">
        <is>
          <t>Not run</t>
        </is>
      </c>
      <c r="M209" s="8" t="n"/>
      <c r="N209" s="8" t="n"/>
      <c r="O209" s="7" t="n"/>
      <c r="P209" s="7" t="inlineStr">
        <is>
          <t>Yes</t>
        </is>
      </c>
      <c r="Q209" t="inlineStr">
        <is>
          <t>Proposed</t>
        </is>
      </c>
      <c r="R209" s="20" t="n"/>
      <c r="S209" s="39" t="n"/>
    </row>
    <row r="210">
      <c r="A210" s="7" t="inlineStr">
        <is>
          <t>UH-101</t>
        </is>
      </c>
      <c r="B210" s="7" t="inlineStr">
        <is>
          <t>2nd Floor</t>
        </is>
      </c>
      <c r="C210" s="7" t="inlineStr">
        <is>
          <t>Corridor (walkway)</t>
        </is>
      </c>
      <c r="D210" s="7" t="inlineStr">
        <is>
          <t>Door Stopper</t>
        </is>
      </c>
      <c r="E210" s="7" t="n"/>
      <c r="F210" s="7" t="n"/>
      <c r="G210" s="7" t="n"/>
      <c r="H210" s="7" t="n"/>
      <c r="I210" s="8" t="n"/>
      <c r="J210" s="8" t="n"/>
      <c r="K210" s="8" t="n"/>
      <c r="L210" s="8" t="inlineStr">
        <is>
          <t>Not run</t>
        </is>
      </c>
      <c r="M210" s="8" t="n"/>
      <c r="N210" s="8" t="n"/>
      <c r="O210" s="7" t="n"/>
      <c r="P210" s="7" t="inlineStr">
        <is>
          <t>Yes</t>
        </is>
      </c>
      <c r="Q210" t="inlineStr">
        <is>
          <t>Proposed</t>
        </is>
      </c>
      <c r="R210" s="20" t="n"/>
      <c r="S210" s="39" t="n"/>
    </row>
    <row r="211">
      <c r="A211" s="7" t="inlineStr">
        <is>
          <t>UH-101</t>
        </is>
      </c>
      <c r="B211" s="7" t="inlineStr">
        <is>
          <t>2nd Floor</t>
        </is>
      </c>
      <c r="C211" s="7" t="inlineStr">
        <is>
          <t>Corridor (walkway)</t>
        </is>
      </c>
      <c r="D211" s="7" t="inlineStr">
        <is>
          <t>Balcony - Handrail</t>
        </is>
      </c>
      <c r="E211" s="7" t="n"/>
      <c r="F211" s="7" t="n"/>
      <c r="G211" s="7" t="n"/>
      <c r="H211" s="7" t="n"/>
      <c r="I211" s="8" t="n"/>
      <c r="J211" s="8" t="n"/>
      <c r="K211" s="8" t="n"/>
      <c r="L211" s="8" t="inlineStr">
        <is>
          <t>Not run</t>
        </is>
      </c>
      <c r="M211" s="8" t="n"/>
      <c r="N211" s="8" t="n"/>
      <c r="O211" s="7" t="n"/>
      <c r="P211" s="7" t="inlineStr">
        <is>
          <t>Yes</t>
        </is>
      </c>
      <c r="Q211" t="inlineStr">
        <is>
          <t>Proposed</t>
        </is>
      </c>
      <c r="R211" s="20" t="n"/>
      <c r="S211" s="39" t="n"/>
    </row>
    <row r="212">
      <c r="A212" s="7" t="inlineStr">
        <is>
          <t>UH-101</t>
        </is>
      </c>
      <c r="B212" s="7" t="inlineStr">
        <is>
          <t>2nd Floor</t>
        </is>
      </c>
      <c r="C212" s="7" t="inlineStr">
        <is>
          <t>Corridor (walkway)</t>
        </is>
      </c>
      <c r="D212" s="7" t="inlineStr">
        <is>
          <t>Balcony - Baluster</t>
        </is>
      </c>
      <c r="E212" s="7" t="n"/>
      <c r="F212" s="7" t="n"/>
      <c r="G212" s="7" t="n"/>
      <c r="H212" s="7" t="n"/>
      <c r="I212" s="8" t="n"/>
      <c r="J212" s="8" t="n"/>
      <c r="K212" s="8" t="n"/>
      <c r="L212" s="8" t="inlineStr">
        <is>
          <t>Not run</t>
        </is>
      </c>
      <c r="M212" s="8" t="n"/>
      <c r="N212" s="8" t="n"/>
      <c r="O212" s="7" t="n"/>
      <c r="P212" s="7" t="inlineStr">
        <is>
          <t>Yes</t>
        </is>
      </c>
      <c r="Q212" t="inlineStr">
        <is>
          <t>Proposed</t>
        </is>
      </c>
      <c r="R212" s="20" t="n"/>
      <c r="S212" s="39" t="n"/>
    </row>
    <row r="213">
      <c r="A213" s="7" t="inlineStr">
        <is>
          <t>UH-101</t>
        </is>
      </c>
      <c r="B213" s="7" t="inlineStr">
        <is>
          <t>2nd Floor</t>
        </is>
      </c>
      <c r="C213" s="7" t="inlineStr">
        <is>
          <t>Corridor (walkway)</t>
        </is>
      </c>
      <c r="D213" s="7" t="inlineStr">
        <is>
          <t>Balcony - Post</t>
        </is>
      </c>
      <c r="E213" s="7" t="n"/>
      <c r="F213" s="7" t="n"/>
      <c r="G213" s="7" t="n"/>
      <c r="H213" s="7" t="n"/>
      <c r="I213" s="8" t="n"/>
      <c r="J213" s="8" t="n"/>
      <c r="K213" s="8" t="n"/>
      <c r="L213" s="8" t="inlineStr">
        <is>
          <t>Not run</t>
        </is>
      </c>
      <c r="M213" s="8" t="n"/>
      <c r="N213" s="8" t="n"/>
      <c r="O213" s="7" t="n"/>
      <c r="P213" s="7" t="inlineStr">
        <is>
          <t>Yes</t>
        </is>
      </c>
      <c r="Q213" t="inlineStr">
        <is>
          <t>Proposed</t>
        </is>
      </c>
      <c r="R213" s="20" t="n"/>
      <c r="S213" s="39" t="n"/>
    </row>
    <row r="214">
      <c r="A214" s="7" t="inlineStr">
        <is>
          <t>UH-101</t>
        </is>
      </c>
      <c r="B214" s="7" t="inlineStr">
        <is>
          <t>2nd Floor</t>
        </is>
      </c>
      <c r="C214" s="7" t="inlineStr">
        <is>
          <t>Game Room</t>
        </is>
      </c>
      <c r="D214" s="7" t="inlineStr">
        <is>
          <t>Flooring</t>
        </is>
      </c>
      <c r="E214" s="7" t="n"/>
      <c r="F214" s="7" t="n"/>
      <c r="G214" s="7" t="n"/>
      <c r="H214" s="7" t="n"/>
      <c r="I214" s="8" t="n"/>
      <c r="J214" s="8" t="n"/>
      <c r="K214" s="8" t="n"/>
      <c r="L214" s="8" t="inlineStr">
        <is>
          <t>Not run</t>
        </is>
      </c>
      <c r="M214" s="8" t="n"/>
      <c r="N214" s="8" t="n"/>
      <c r="O214" s="7" t="n"/>
      <c r="P214" s="7" t="inlineStr">
        <is>
          <t>Yes</t>
        </is>
      </c>
      <c r="Q214" t="inlineStr">
        <is>
          <t>Proposed</t>
        </is>
      </c>
      <c r="R214" s="20" t="n"/>
      <c r="S214" s="39" t="n"/>
    </row>
    <row r="215">
      <c r="A215" s="7" t="inlineStr">
        <is>
          <t>UH-101</t>
        </is>
      </c>
      <c r="B215" s="7" t="inlineStr">
        <is>
          <t>2nd Floor</t>
        </is>
      </c>
      <c r="C215" s="7" t="inlineStr">
        <is>
          <t>Game Room</t>
        </is>
      </c>
      <c r="D215" s="7" t="inlineStr">
        <is>
          <t>Light Fixture - Fan</t>
        </is>
      </c>
      <c r="E215" s="7" t="n"/>
      <c r="F215" s="7" t="n"/>
      <c r="G215" s="7" t="n"/>
      <c r="H215" s="7" t="n"/>
      <c r="I215" s="8" t="n"/>
      <c r="J215" s="8" t="n"/>
      <c r="K215" s="8" t="n"/>
      <c r="L215" s="8" t="inlineStr">
        <is>
          <t>Not run</t>
        </is>
      </c>
      <c r="M215" s="8" t="n"/>
      <c r="N215" s="8" t="n"/>
      <c r="O215" s="7" t="n"/>
      <c r="P215" s="7" t="inlineStr">
        <is>
          <t>Yes</t>
        </is>
      </c>
      <c r="Q215" t="inlineStr">
        <is>
          <t>Proposed</t>
        </is>
      </c>
      <c r="R215" s="20" t="n"/>
      <c r="S215" s="39" t="n"/>
    </row>
    <row r="216">
      <c r="A216" s="7" t="inlineStr">
        <is>
          <t>UH-101</t>
        </is>
      </c>
      <c r="B216" s="7" t="inlineStr">
        <is>
          <t>2nd Floor</t>
        </is>
      </c>
      <c r="C216" s="7" t="inlineStr">
        <is>
          <t>Game Room</t>
        </is>
      </c>
      <c r="D216" s="7" t="inlineStr">
        <is>
          <t>Interior Door</t>
        </is>
      </c>
      <c r="E216" s="7" t="n"/>
      <c r="F216" s="7" t="n"/>
      <c r="G216" s="7" t="n"/>
      <c r="H216" s="7" t="n"/>
      <c r="I216" s="8" t="n"/>
      <c r="J216" s="8" t="n"/>
      <c r="K216" s="8" t="n"/>
      <c r="L216" s="8" t="inlineStr">
        <is>
          <t>Not run</t>
        </is>
      </c>
      <c r="M216" s="8" t="n"/>
      <c r="N216" s="8" t="n"/>
      <c r="O216" s="7" t="n"/>
      <c r="P216" s="7" t="inlineStr">
        <is>
          <t>Yes</t>
        </is>
      </c>
      <c r="Q216" t="inlineStr">
        <is>
          <t>Proposed</t>
        </is>
      </c>
      <c r="R216" s="20" t="n"/>
      <c r="S216" s="39" t="n"/>
    </row>
    <row r="217">
      <c r="A217" s="7" t="inlineStr">
        <is>
          <t>UH-101</t>
        </is>
      </c>
      <c r="B217" s="7" t="inlineStr">
        <is>
          <t>2nd Floor</t>
        </is>
      </c>
      <c r="C217" s="7" t="inlineStr">
        <is>
          <t>Game Room</t>
        </is>
      </c>
      <c r="D217" s="7" t="inlineStr">
        <is>
          <t>Door Stopper</t>
        </is>
      </c>
      <c r="E217" s="7" t="n"/>
      <c r="F217" s="7" t="n"/>
      <c r="G217" s="7" t="n"/>
      <c r="H217" s="7" t="n"/>
      <c r="I217" s="8" t="n"/>
      <c r="J217" s="8" t="n"/>
      <c r="K217" s="8" t="n"/>
      <c r="L217" s="8" t="inlineStr">
        <is>
          <t>Not run</t>
        </is>
      </c>
      <c r="M217" s="8" t="n"/>
      <c r="N217" s="8" t="n"/>
      <c r="O217" s="7" t="n"/>
      <c r="P217" s="7" t="inlineStr">
        <is>
          <t>Yes</t>
        </is>
      </c>
      <c r="Q217" t="inlineStr">
        <is>
          <t>Proposed</t>
        </is>
      </c>
      <c r="R217" s="20" t="n"/>
      <c r="S217" s="39" t="n"/>
    </row>
    <row r="218">
      <c r="A218" s="7" t="inlineStr">
        <is>
          <t>UH-101</t>
        </is>
      </c>
      <c r="B218" s="7" t="inlineStr">
        <is>
          <t>2nd Floor</t>
        </is>
      </c>
      <c r="C218" s="7" t="inlineStr">
        <is>
          <t>Powder Room</t>
        </is>
      </c>
      <c r="D218" s="7" t="inlineStr">
        <is>
          <t>Flooring</t>
        </is>
      </c>
      <c r="E218" s="7" t="n"/>
      <c r="F218" s="7" t="n"/>
      <c r="G218" s="7" t="n"/>
      <c r="H218" s="7" t="n"/>
      <c r="I218" s="8" t="n"/>
      <c r="J218" s="8" t="n"/>
      <c r="K218" s="8" t="n"/>
      <c r="L218" s="8" t="inlineStr">
        <is>
          <t>Not run</t>
        </is>
      </c>
      <c r="M218" s="8" t="n"/>
      <c r="N218" s="8" t="n"/>
      <c r="O218" s="7" t="n"/>
      <c r="P218" s="7" t="inlineStr">
        <is>
          <t>Yes</t>
        </is>
      </c>
      <c r="Q218" t="inlineStr">
        <is>
          <t>Proposed</t>
        </is>
      </c>
      <c r="R218" s="20" t="n"/>
      <c r="S218" s="39" t="n"/>
    </row>
    <row r="219">
      <c r="A219" s="7" t="inlineStr">
        <is>
          <t>UH-101</t>
        </is>
      </c>
      <c r="B219" s="7" t="inlineStr">
        <is>
          <t>2nd Floor</t>
        </is>
      </c>
      <c r="C219" s="7" t="inlineStr">
        <is>
          <t>Powder Room</t>
        </is>
      </c>
      <c r="D219" s="7" t="inlineStr">
        <is>
          <t>Counter top</t>
        </is>
      </c>
      <c r="E219" s="7" t="n"/>
      <c r="F219" s="7" t="n"/>
      <c r="G219" s="7" t="n"/>
      <c r="H219" s="7" t="n"/>
      <c r="I219" s="8" t="n"/>
      <c r="J219" s="8" t="n"/>
      <c r="K219" s="8" t="n"/>
      <c r="L219" s="8" t="inlineStr">
        <is>
          <t>Not run</t>
        </is>
      </c>
      <c r="M219" s="8" t="n"/>
      <c r="N219" s="8" t="n"/>
      <c r="O219" s="7" t="n"/>
      <c r="P219" s="7" t="inlineStr">
        <is>
          <t>Yes</t>
        </is>
      </c>
      <c r="Q219" t="inlineStr">
        <is>
          <t>Proposed</t>
        </is>
      </c>
      <c r="R219" s="20" t="n"/>
      <c r="S219" s="39" t="n"/>
    </row>
    <row r="220">
      <c r="A220" s="7" t="inlineStr">
        <is>
          <t>UH-101</t>
        </is>
      </c>
      <c r="B220" s="7" t="inlineStr">
        <is>
          <t>2nd Floor</t>
        </is>
      </c>
      <c r="C220" s="7" t="inlineStr">
        <is>
          <t>Powder Room</t>
        </is>
      </c>
      <c r="D220" s="7" t="inlineStr">
        <is>
          <t>Bathroom Sink</t>
        </is>
      </c>
      <c r="E220" s="7" t="n"/>
      <c r="F220" s="7" t="n"/>
      <c r="G220" s="7" t="n"/>
      <c r="H220" s="7" t="n"/>
      <c r="I220" s="8" t="n"/>
      <c r="J220" s="8" t="n"/>
      <c r="K220" s="8" t="n"/>
      <c r="L220" s="8" t="inlineStr">
        <is>
          <t>Not run</t>
        </is>
      </c>
      <c r="M220" s="8" t="n"/>
      <c r="N220" s="8" t="n"/>
      <c r="O220" s="7" t="n"/>
      <c r="P220" s="7" t="inlineStr">
        <is>
          <t>Yes</t>
        </is>
      </c>
      <c r="Q220" t="inlineStr">
        <is>
          <t>Proposed</t>
        </is>
      </c>
      <c r="R220" s="20" t="n"/>
      <c r="S220" s="39" t="n"/>
    </row>
    <row r="221">
      <c r="A221" s="7" t="inlineStr">
        <is>
          <t>UH-101</t>
        </is>
      </c>
      <c r="B221" s="7" t="inlineStr">
        <is>
          <t>2nd Floor</t>
        </is>
      </c>
      <c r="C221" s="7" t="inlineStr">
        <is>
          <t>Powder Room</t>
        </is>
      </c>
      <c r="D221" s="7" t="inlineStr">
        <is>
          <t>Sink Faucet</t>
        </is>
      </c>
      <c r="E221" s="7" t="n"/>
      <c r="F221" s="7" t="n"/>
      <c r="G221" s="7" t="n"/>
      <c r="H221" s="7" t="n"/>
      <c r="I221" s="8" t="n"/>
      <c r="J221" s="8" t="n"/>
      <c r="K221" s="8" t="n"/>
      <c r="L221" s="8" t="inlineStr">
        <is>
          <t>Not run</t>
        </is>
      </c>
      <c r="M221" s="8" t="n"/>
      <c r="N221" s="8" t="n"/>
      <c r="O221" s="7" t="n"/>
      <c r="P221" s="7" t="inlineStr">
        <is>
          <t>Yes</t>
        </is>
      </c>
      <c r="Q221" t="inlineStr">
        <is>
          <t>Proposed</t>
        </is>
      </c>
      <c r="R221" s="20" t="n"/>
      <c r="S221" s="39" t="n"/>
    </row>
    <row r="222">
      <c r="A222" s="7" t="inlineStr">
        <is>
          <t>UH-101</t>
        </is>
      </c>
      <c r="B222" s="7" t="inlineStr">
        <is>
          <t>2nd Floor</t>
        </is>
      </c>
      <c r="C222" s="7" t="inlineStr">
        <is>
          <t>Powder Room</t>
        </is>
      </c>
      <c r="D222" s="7" t="inlineStr">
        <is>
          <t>Towel Ring</t>
        </is>
      </c>
      <c r="E222" s="7" t="n"/>
      <c r="F222" s="7" t="n"/>
      <c r="G222" s="7" t="n"/>
      <c r="H222" s="7" t="n"/>
      <c r="I222" s="8" t="n"/>
      <c r="J222" s="8" t="n"/>
      <c r="K222" s="8" t="n"/>
      <c r="L222" s="8" t="inlineStr">
        <is>
          <t>Not run</t>
        </is>
      </c>
      <c r="M222" s="8" t="n"/>
      <c r="N222" s="8" t="n"/>
      <c r="O222" s="7" t="n"/>
      <c r="P222" s="7" t="inlineStr">
        <is>
          <t>Yes</t>
        </is>
      </c>
      <c r="Q222" t="inlineStr">
        <is>
          <t>Proposed</t>
        </is>
      </c>
      <c r="R222" s="20" t="n"/>
      <c r="S222" s="39" t="n"/>
    </row>
    <row r="223">
      <c r="A223" s="7" t="inlineStr">
        <is>
          <t>UH-101</t>
        </is>
      </c>
      <c r="B223" s="7" t="inlineStr">
        <is>
          <t>2nd Floor</t>
        </is>
      </c>
      <c r="C223" s="7" t="inlineStr">
        <is>
          <t>Powder Room</t>
        </is>
      </c>
      <c r="D223" s="7" t="inlineStr">
        <is>
          <t>Towel Bar 24"</t>
        </is>
      </c>
      <c r="E223" s="7" t="n"/>
      <c r="F223" s="7" t="n"/>
      <c r="G223" s="7" t="n"/>
      <c r="H223" s="7" t="n"/>
      <c r="I223" s="8" t="n"/>
      <c r="J223" s="8" t="n"/>
      <c r="K223" s="8" t="n"/>
      <c r="L223" s="8" t="inlineStr">
        <is>
          <t>Not run</t>
        </is>
      </c>
      <c r="M223" s="8" t="n"/>
      <c r="N223" s="8" t="n"/>
      <c r="O223" s="7" t="n"/>
      <c r="P223" s="7" t="inlineStr">
        <is>
          <t>Yes</t>
        </is>
      </c>
      <c r="Q223" t="inlineStr">
        <is>
          <t>Proposed</t>
        </is>
      </c>
      <c r="R223" s="20" t="n"/>
      <c r="S223" s="39" t="n"/>
    </row>
    <row r="224">
      <c r="A224" s="7" t="inlineStr">
        <is>
          <t>UH-101</t>
        </is>
      </c>
      <c r="B224" s="7" t="inlineStr">
        <is>
          <t>2nd Floor</t>
        </is>
      </c>
      <c r="C224" s="7" t="inlineStr">
        <is>
          <t>Powder Room</t>
        </is>
      </c>
      <c r="D224" s="7" t="inlineStr">
        <is>
          <t>Vanity Mirror</t>
        </is>
      </c>
      <c r="E224" s="7" t="n"/>
      <c r="F224" s="7" t="n"/>
      <c r="G224" s="7" t="n"/>
      <c r="H224" s="7" t="n"/>
      <c r="I224" s="8" t="n"/>
      <c r="J224" s="8" t="n"/>
      <c r="K224" s="8" t="n"/>
      <c r="L224" s="8" t="inlineStr">
        <is>
          <t>Not run</t>
        </is>
      </c>
      <c r="M224" s="8" t="n"/>
      <c r="N224" s="8" t="n"/>
      <c r="O224" s="7" t="n"/>
      <c r="P224" s="7" t="inlineStr">
        <is>
          <t>Yes</t>
        </is>
      </c>
      <c r="Q224" t="inlineStr">
        <is>
          <t>Proposed</t>
        </is>
      </c>
      <c r="R224" s="20" t="n"/>
      <c r="S224" s="39" t="n"/>
    </row>
    <row r="225">
      <c r="A225" s="7" t="inlineStr">
        <is>
          <t>UH-101</t>
        </is>
      </c>
      <c r="B225" s="7" t="inlineStr">
        <is>
          <t>2nd Floor</t>
        </is>
      </c>
      <c r="C225" s="7" t="inlineStr">
        <is>
          <t>Powder Room</t>
        </is>
      </c>
      <c r="D225" s="7" t="inlineStr">
        <is>
          <t>Light Fixture - Bath</t>
        </is>
      </c>
      <c r="E225" s="7" t="n"/>
      <c r="F225" s="7" t="n"/>
      <c r="G225" s="7" t="n"/>
      <c r="H225" s="7" t="n"/>
      <c r="I225" s="8" t="n"/>
      <c r="J225" s="8" t="n"/>
      <c r="K225" s="8" t="n"/>
      <c r="L225" s="8" t="inlineStr">
        <is>
          <t>Not run</t>
        </is>
      </c>
      <c r="M225" s="8" t="n"/>
      <c r="N225" s="8" t="n"/>
      <c r="O225" s="7" t="n"/>
      <c r="P225" s="7" t="inlineStr">
        <is>
          <t>Yes</t>
        </is>
      </c>
      <c r="Q225" t="inlineStr">
        <is>
          <t>Proposed</t>
        </is>
      </c>
      <c r="R225" s="20" t="n"/>
      <c r="S225" s="39" t="n"/>
    </row>
    <row r="226">
      <c r="A226" s="7" t="inlineStr">
        <is>
          <t>UH-101</t>
        </is>
      </c>
      <c r="B226" s="7" t="inlineStr">
        <is>
          <t>2nd Floor</t>
        </is>
      </c>
      <c r="C226" s="7" t="inlineStr">
        <is>
          <t>Powder Room</t>
        </is>
      </c>
      <c r="D226" s="7" t="inlineStr">
        <is>
          <t>Flush Toilet</t>
        </is>
      </c>
      <c r="E226" s="7" t="n"/>
      <c r="F226" s="7" t="n"/>
      <c r="G226" s="7" t="n"/>
      <c r="H226" s="7" t="n"/>
      <c r="I226" s="8" t="n"/>
      <c r="J226" s="8" t="n"/>
      <c r="K226" s="8" t="n"/>
      <c r="L226" s="8" t="inlineStr">
        <is>
          <t>Not run</t>
        </is>
      </c>
      <c r="M226" s="8" t="n"/>
      <c r="N226" s="8" t="n"/>
      <c r="O226" s="7" t="n"/>
      <c r="P226" s="7" t="inlineStr">
        <is>
          <t>Yes</t>
        </is>
      </c>
      <c r="Q226" t="inlineStr">
        <is>
          <t>Proposed</t>
        </is>
      </c>
      <c r="R226" s="20" t="n"/>
      <c r="S226" s="39" t="n"/>
    </row>
    <row r="227">
      <c r="A227" s="7" t="inlineStr">
        <is>
          <t>UH-101</t>
        </is>
      </c>
      <c r="B227" s="7" t="inlineStr">
        <is>
          <t>2nd Floor</t>
        </is>
      </c>
      <c r="C227" s="7" t="inlineStr">
        <is>
          <t>Powder Room</t>
        </is>
      </c>
      <c r="D227" s="7" t="inlineStr">
        <is>
          <t>Toilet Paper Holder</t>
        </is>
      </c>
      <c r="E227" s="7" t="n"/>
      <c r="F227" s="7" t="n"/>
      <c r="G227" s="7" t="n"/>
      <c r="H227" s="7" t="n"/>
      <c r="I227" s="8" t="n"/>
      <c r="J227" s="8" t="n"/>
      <c r="K227" s="8" t="n"/>
      <c r="L227" s="8" t="inlineStr">
        <is>
          <t>Not run</t>
        </is>
      </c>
      <c r="M227" s="8" t="n"/>
      <c r="N227" s="8" t="n"/>
      <c r="O227" s="7" t="n"/>
      <c r="P227" s="7" t="inlineStr">
        <is>
          <t>Yes</t>
        </is>
      </c>
      <c r="Q227" t="inlineStr">
        <is>
          <t>Proposed</t>
        </is>
      </c>
      <c r="R227" s="20" t="n"/>
      <c r="S227" s="39" t="n"/>
    </row>
    <row r="228">
      <c r="A228" s="7" t="inlineStr">
        <is>
          <t>UH-101</t>
        </is>
      </c>
      <c r="B228" s="7" t="inlineStr">
        <is>
          <t>2nd Floor</t>
        </is>
      </c>
      <c r="C228" s="7" t="inlineStr">
        <is>
          <t>Powder Room</t>
        </is>
      </c>
      <c r="D228" s="7" t="inlineStr">
        <is>
          <t>Toilet Lever</t>
        </is>
      </c>
      <c r="E228" s="7" t="n"/>
      <c r="F228" s="7" t="n"/>
      <c r="G228" s="7" t="n"/>
      <c r="H228" s="7" t="n"/>
      <c r="I228" s="8" t="n"/>
      <c r="J228" s="8" t="n"/>
      <c r="K228" s="8" t="n"/>
      <c r="L228" s="8" t="inlineStr">
        <is>
          <t>Not run</t>
        </is>
      </c>
      <c r="M228" s="8" t="n"/>
      <c r="N228" s="8" t="n"/>
      <c r="O228" s="7" t="n"/>
      <c r="P228" s="7" t="inlineStr">
        <is>
          <t>Yes</t>
        </is>
      </c>
      <c r="Q228" t="inlineStr">
        <is>
          <t>Proposed</t>
        </is>
      </c>
      <c r="R228" s="20" t="n"/>
      <c r="S228" s="39" t="n"/>
    </row>
    <row r="229">
      <c r="A229" s="7" t="inlineStr">
        <is>
          <t>UH-101</t>
        </is>
      </c>
      <c r="B229" s="7" t="inlineStr">
        <is>
          <t>2nd Floor</t>
        </is>
      </c>
      <c r="C229" s="7" t="inlineStr">
        <is>
          <t>Powder Room</t>
        </is>
      </c>
      <c r="D229" s="7" t="inlineStr">
        <is>
          <t>Doors - Interior</t>
        </is>
      </c>
      <c r="E229" s="7" t="n"/>
      <c r="F229" s="7" t="n"/>
      <c r="G229" s="7" t="n"/>
      <c r="H229" s="7" t="n"/>
      <c r="I229" s="8" t="n"/>
      <c r="J229" s="8" t="n"/>
      <c r="K229" s="8" t="n"/>
      <c r="L229" s="8" t="inlineStr">
        <is>
          <t>Not run</t>
        </is>
      </c>
      <c r="M229" s="8" t="n"/>
      <c r="N229" s="8" t="n"/>
      <c r="O229" s="7" t="n"/>
      <c r="P229" s="7" t="inlineStr">
        <is>
          <t>Yes</t>
        </is>
      </c>
      <c r="Q229" t="inlineStr">
        <is>
          <t>Proposed</t>
        </is>
      </c>
      <c r="R229" s="20" t="n"/>
      <c r="S229" s="39" t="n"/>
    </row>
    <row r="230">
      <c r="A230" s="7" t="inlineStr">
        <is>
          <t>UH-101</t>
        </is>
      </c>
      <c r="B230" s="7" t="inlineStr">
        <is>
          <t>2nd Floor</t>
        </is>
      </c>
      <c r="C230" s="7" t="inlineStr">
        <is>
          <t>Powder Room</t>
        </is>
      </c>
      <c r="D230" s="7" t="inlineStr">
        <is>
          <t>Door Stopper</t>
        </is>
      </c>
      <c r="E230" s="7" t="n"/>
      <c r="F230" s="7" t="n"/>
      <c r="G230" s="7" t="n"/>
      <c r="H230" s="7" t="n"/>
      <c r="I230" s="8" t="n"/>
      <c r="J230" s="8" t="n"/>
      <c r="K230" s="8" t="n"/>
      <c r="L230" s="8" t="inlineStr">
        <is>
          <t>Not run</t>
        </is>
      </c>
      <c r="M230" s="8" t="n"/>
      <c r="N230" s="8" t="n"/>
      <c r="O230" s="7" t="n"/>
      <c r="P230" s="7" t="inlineStr">
        <is>
          <t>Yes</t>
        </is>
      </c>
      <c r="Q230" t="inlineStr">
        <is>
          <t>Proposed</t>
        </is>
      </c>
      <c r="R230" s="20" t="n"/>
      <c r="S230" s="39" t="n"/>
    </row>
    <row r="231">
      <c r="A231" s="7" t="inlineStr">
        <is>
          <t>UH-101</t>
        </is>
      </c>
      <c r="B231" s="7" t="inlineStr">
        <is>
          <t>2nd Floor</t>
        </is>
      </c>
      <c r="C231" s="7" t="inlineStr">
        <is>
          <t>Powder Room</t>
        </is>
      </c>
      <c r="D231" s="7" t="inlineStr">
        <is>
          <t>Exhaust Fan</t>
        </is>
      </c>
      <c r="E231" s="7" t="n"/>
      <c r="F231" s="7" t="n"/>
      <c r="G231" s="7" t="n"/>
      <c r="H231" s="7" t="n"/>
      <c r="I231" s="8" t="n"/>
      <c r="J231" s="8" t="n"/>
      <c r="K231" s="8" t="n"/>
      <c r="L231" s="8" t="inlineStr">
        <is>
          <t>Not run</t>
        </is>
      </c>
      <c r="M231" s="8" t="n"/>
      <c r="N231" s="8" t="n"/>
      <c r="O231" s="7" t="n"/>
      <c r="P231" s="7" t="inlineStr">
        <is>
          <t>Yes</t>
        </is>
      </c>
      <c r="Q231" t="inlineStr">
        <is>
          <t>Proposed</t>
        </is>
      </c>
      <c r="R231" s="20" t="n"/>
      <c r="S231" s="39" t="n"/>
    </row>
    <row r="232">
      <c r="A232" s="7" t="inlineStr">
        <is>
          <t>UH-101</t>
        </is>
      </c>
      <c r="B232" s="7" t="inlineStr">
        <is>
          <t>2nd Floor</t>
        </is>
      </c>
      <c r="C232" s="7" t="inlineStr">
        <is>
          <t>Media Room</t>
        </is>
      </c>
      <c r="D232" s="7" t="inlineStr">
        <is>
          <t>Flooring</t>
        </is>
      </c>
      <c r="E232" s="7" t="n"/>
      <c r="F232" s="7" t="n"/>
      <c r="G232" s="7" t="n"/>
      <c r="H232" s="7" t="n"/>
      <c r="I232" s="8" t="n"/>
      <c r="J232" s="8" t="n"/>
      <c r="K232" s="8" t="n"/>
      <c r="L232" s="8" t="inlineStr">
        <is>
          <t>Not run</t>
        </is>
      </c>
      <c r="M232" s="8" t="n"/>
      <c r="N232" s="8" t="n"/>
      <c r="O232" s="7" t="n"/>
      <c r="P232" s="7" t="inlineStr">
        <is>
          <t>Yes</t>
        </is>
      </c>
      <c r="Q232" t="inlineStr">
        <is>
          <t>Proposed</t>
        </is>
      </c>
      <c r="R232" s="20" t="n"/>
      <c r="S232" s="39" t="n"/>
    </row>
    <row r="233">
      <c r="A233" s="7" t="inlineStr">
        <is>
          <t>UH-101</t>
        </is>
      </c>
      <c r="B233" s="7" t="inlineStr">
        <is>
          <t>2nd Floor</t>
        </is>
      </c>
      <c r="C233" s="7" t="inlineStr">
        <is>
          <t>Media Room</t>
        </is>
      </c>
      <c r="D233" s="7" t="inlineStr">
        <is>
          <t>Light Fixture - Fan</t>
        </is>
      </c>
      <c r="E233" s="7" t="n"/>
      <c r="F233" s="7" t="n"/>
      <c r="G233" s="7" t="n"/>
      <c r="H233" s="7" t="n"/>
      <c r="I233" s="8" t="n"/>
      <c r="J233" s="8" t="n"/>
      <c r="K233" s="8" t="n"/>
      <c r="L233" s="8" t="inlineStr">
        <is>
          <t>Not run</t>
        </is>
      </c>
      <c r="M233" s="8" t="n"/>
      <c r="N233" s="8" t="n"/>
      <c r="O233" s="7" t="n"/>
      <c r="P233" s="7" t="inlineStr">
        <is>
          <t>Yes</t>
        </is>
      </c>
      <c r="Q233" t="inlineStr">
        <is>
          <t>Proposed</t>
        </is>
      </c>
      <c r="R233" s="20" t="n"/>
      <c r="S233" s="39" t="n"/>
    </row>
    <row r="234">
      <c r="A234" s="7" t="inlineStr">
        <is>
          <t>UH-101</t>
        </is>
      </c>
      <c r="B234" s="7" t="inlineStr">
        <is>
          <t>2nd Floor</t>
        </is>
      </c>
      <c r="C234" s="7" t="inlineStr">
        <is>
          <t>Media Room</t>
        </is>
      </c>
      <c r="D234" s="7" t="inlineStr">
        <is>
          <t>Light Fixture - Sconce</t>
        </is>
      </c>
      <c r="E234" s="7" t="n"/>
      <c r="F234" s="7" t="n"/>
      <c r="G234" s="7" t="n"/>
      <c r="H234" s="7" t="n"/>
      <c r="I234" s="8" t="n"/>
      <c r="J234" s="8" t="n"/>
      <c r="K234" s="8" t="n"/>
      <c r="L234" s="8" t="inlineStr">
        <is>
          <t>Not run</t>
        </is>
      </c>
      <c r="M234" s="8" t="n"/>
      <c r="N234" s="8" t="n"/>
      <c r="O234" s="7" t="n"/>
      <c r="P234" s="7" t="inlineStr">
        <is>
          <t>Yes</t>
        </is>
      </c>
      <c r="Q234" t="inlineStr">
        <is>
          <t>Proposed</t>
        </is>
      </c>
      <c r="R234" s="20" t="n"/>
      <c r="S234" s="39" t="n"/>
    </row>
    <row r="235">
      <c r="A235" s="7" t="inlineStr">
        <is>
          <t>UH-101</t>
        </is>
      </c>
      <c r="B235" s="7" t="inlineStr">
        <is>
          <t>2nd Floor</t>
        </is>
      </c>
      <c r="C235" s="7" t="inlineStr">
        <is>
          <t>Media Room</t>
        </is>
      </c>
      <c r="D235" s="7" t="inlineStr">
        <is>
          <t>Interior Door</t>
        </is>
      </c>
      <c r="E235" s="7" t="n"/>
      <c r="F235" s="7" t="n"/>
      <c r="G235" s="7" t="n"/>
      <c r="H235" s="7" t="n"/>
      <c r="I235" s="8" t="n"/>
      <c r="J235" s="8" t="n"/>
      <c r="K235" s="8" t="n"/>
      <c r="L235" s="8" t="inlineStr">
        <is>
          <t>Not run</t>
        </is>
      </c>
      <c r="M235" s="8" t="n"/>
      <c r="N235" s="8" t="n"/>
      <c r="O235" s="7" t="n"/>
      <c r="P235" s="7" t="inlineStr">
        <is>
          <t>Yes</t>
        </is>
      </c>
      <c r="Q235" t="inlineStr">
        <is>
          <t>Proposed</t>
        </is>
      </c>
      <c r="R235" s="20" t="n"/>
      <c r="S235" s="39" t="n"/>
    </row>
    <row r="236">
      <c r="A236" s="7" t="inlineStr">
        <is>
          <t>UH-101</t>
        </is>
      </c>
      <c r="B236" s="7" t="inlineStr">
        <is>
          <t>2nd Floor</t>
        </is>
      </c>
      <c r="C236" s="7" t="inlineStr">
        <is>
          <t>Media Room</t>
        </is>
      </c>
      <c r="D236" s="7" t="inlineStr">
        <is>
          <t>Door Stopper</t>
        </is>
      </c>
      <c r="E236" s="7" t="n"/>
      <c r="F236" s="7" t="n"/>
      <c r="G236" s="7" t="n"/>
      <c r="H236" s="7" t="n"/>
      <c r="I236" s="8" t="n"/>
      <c r="J236" s="8" t="n"/>
      <c r="K236" s="8" t="n"/>
      <c r="L236" s="8" t="inlineStr">
        <is>
          <t>Not run</t>
        </is>
      </c>
      <c r="M236" s="8" t="n"/>
      <c r="N236" s="8" t="n"/>
      <c r="O236" s="7" t="n"/>
      <c r="P236" s="7" t="inlineStr">
        <is>
          <t>Yes</t>
        </is>
      </c>
      <c r="Q236" t="inlineStr">
        <is>
          <t>Proposed</t>
        </is>
      </c>
      <c r="R236" s="20" t="n"/>
      <c r="S236" s="39" t="n"/>
    </row>
    <row r="237">
      <c r="A237" s="7" t="inlineStr">
        <is>
          <t>UH-101</t>
        </is>
      </c>
      <c r="B237" s="7" t="inlineStr">
        <is>
          <t>2nd Floor</t>
        </is>
      </c>
      <c r="C237" s="7" t="n"/>
      <c r="D237" s="7" t="inlineStr">
        <is>
          <t>Walls</t>
        </is>
      </c>
      <c r="E237" s="7" t="n"/>
      <c r="F237" s="7" t="n"/>
      <c r="G237" s="7" t="n"/>
      <c r="H237" s="7" t="n"/>
      <c r="I237" s="8" t="n"/>
      <c r="J237" s="8" t="n"/>
      <c r="K237" s="8" t="n"/>
      <c r="L237" s="8" t="inlineStr">
        <is>
          <t>Not run</t>
        </is>
      </c>
      <c r="M237" s="8" t="n"/>
      <c r="N237" s="8" t="n"/>
      <c r="O237" s="7" t="n"/>
      <c r="P237" s="7" t="inlineStr">
        <is>
          <t>Yes</t>
        </is>
      </c>
      <c r="Q237" t="inlineStr">
        <is>
          <t>Proposed</t>
        </is>
      </c>
      <c r="R237" s="20" t="n"/>
      <c r="S237" s="39" t="n"/>
    </row>
    <row r="238">
      <c r="A238" s="7" t="inlineStr">
        <is>
          <t>UH-101</t>
        </is>
      </c>
      <c r="B238" s="7" t="inlineStr">
        <is>
          <t>Outdoor Living</t>
        </is>
      </c>
      <c r="C238" s="7" t="inlineStr">
        <is>
          <t>1st Floor - Porch (Front)</t>
        </is>
      </c>
      <c r="D238" s="7" t="inlineStr">
        <is>
          <t>Flooring</t>
        </is>
      </c>
      <c r="E238" s="7" t="n"/>
      <c r="F238" s="7" t="n"/>
      <c r="G238" s="7" t="n"/>
      <c r="H238" s="7" t="n"/>
      <c r="I238" s="8" t="n"/>
      <c r="J238" s="8" t="n"/>
      <c r="K238" s="8" t="n"/>
      <c r="L238" s="8" t="inlineStr">
        <is>
          <t>Not run</t>
        </is>
      </c>
      <c r="M238" s="8" t="n"/>
      <c r="N238" s="8" t="n"/>
      <c r="O238" s="7" t="n"/>
      <c r="P238" s="7" t="inlineStr">
        <is>
          <t>Yes</t>
        </is>
      </c>
      <c r="Q238" t="inlineStr">
        <is>
          <t>Proposed</t>
        </is>
      </c>
      <c r="R238" s="20" t="n"/>
      <c r="S238" s="39" t="n"/>
    </row>
    <row r="239">
      <c r="A239" s="7" t="inlineStr">
        <is>
          <t>UH-101</t>
        </is>
      </c>
      <c r="B239" s="7" t="inlineStr">
        <is>
          <t>Outdoor Living</t>
        </is>
      </c>
      <c r="C239" s="7" t="inlineStr">
        <is>
          <t>1st Floor - Patio (Study)</t>
        </is>
      </c>
      <c r="D239" s="7" t="inlineStr">
        <is>
          <t>Flooring</t>
        </is>
      </c>
      <c r="E239" s="7" t="n"/>
      <c r="F239" s="7" t="n"/>
      <c r="G239" s="7" t="n"/>
      <c r="H239" s="7" t="n"/>
      <c r="I239" s="8" t="n"/>
      <c r="J239" s="8" t="n"/>
      <c r="K239" s="8" t="n"/>
      <c r="L239" s="8" t="inlineStr">
        <is>
          <t>Not run</t>
        </is>
      </c>
      <c r="M239" s="8" t="n"/>
      <c r="N239" s="8" t="n"/>
      <c r="O239" s="7" t="n"/>
      <c r="P239" s="7" t="inlineStr">
        <is>
          <t>Yes</t>
        </is>
      </c>
      <c r="Q239" t="inlineStr">
        <is>
          <t>Proposed</t>
        </is>
      </c>
      <c r="R239" s="20" t="n"/>
      <c r="S239" s="39" t="n"/>
    </row>
    <row r="240">
      <c r="A240" s="7" t="inlineStr">
        <is>
          <t>UH-101</t>
        </is>
      </c>
      <c r="B240" s="7" t="inlineStr">
        <is>
          <t>Outdoor Living</t>
        </is>
      </c>
      <c r="C240" s="7" t="inlineStr">
        <is>
          <t>1st Floor - Patio (Family Room)</t>
        </is>
      </c>
      <c r="D240" s="7" t="inlineStr">
        <is>
          <t>Flooring</t>
        </is>
      </c>
      <c r="E240" s="7" t="n"/>
      <c r="F240" s="7" t="n"/>
      <c r="G240" s="7" t="n"/>
      <c r="H240" s="7" t="n"/>
      <c r="I240" s="8" t="n"/>
      <c r="J240" s="8" t="n"/>
      <c r="K240" s="8" t="n"/>
      <c r="L240" s="8" t="inlineStr">
        <is>
          <t>Not run</t>
        </is>
      </c>
      <c r="M240" s="8" t="n"/>
      <c r="N240" s="8" t="n"/>
      <c r="O240" s="7" t="n"/>
      <c r="P240" s="7" t="inlineStr">
        <is>
          <t>Yes</t>
        </is>
      </c>
      <c r="Q240" t="inlineStr">
        <is>
          <t>Proposed</t>
        </is>
      </c>
      <c r="R240" s="20" t="n"/>
      <c r="S240" s="39" t="n"/>
    </row>
    <row r="241">
      <c r="A241" s="7" t="inlineStr">
        <is>
          <t>UH-101</t>
        </is>
      </c>
      <c r="B241" s="7" t="inlineStr">
        <is>
          <t>Outdoor Living</t>
        </is>
      </c>
      <c r="C241" s="7" t="inlineStr">
        <is>
          <t>1st Floor - Patio (Family Room)</t>
        </is>
      </c>
      <c r="D241" s="7" t="inlineStr">
        <is>
          <t>Light Fixture - Fan</t>
        </is>
      </c>
      <c r="E241" s="7" t="n"/>
      <c r="F241" s="7" t="n"/>
      <c r="G241" s="7" t="n"/>
      <c r="H241" s="7" t="n"/>
      <c r="I241" s="8" t="n"/>
      <c r="J241" s="8" t="n"/>
      <c r="K241" s="8" t="n"/>
      <c r="L241" s="8" t="inlineStr">
        <is>
          <t>Not run</t>
        </is>
      </c>
      <c r="M241" s="8" t="n"/>
      <c r="N241" s="8" t="n"/>
      <c r="O241" s="7" t="n"/>
      <c r="P241" s="7" t="inlineStr">
        <is>
          <t>Yes</t>
        </is>
      </c>
      <c r="Q241" t="inlineStr">
        <is>
          <t>Proposed</t>
        </is>
      </c>
      <c r="R241" s="20" t="n"/>
      <c r="S241" s="39" t="n"/>
    </row>
    <row r="242">
      <c r="A242" s="7" t="inlineStr">
        <is>
          <t>UH-101</t>
        </is>
      </c>
      <c r="B242" s="7" t="inlineStr">
        <is>
          <t>Outdoor Living</t>
        </is>
      </c>
      <c r="C242" s="7" t="inlineStr">
        <is>
          <t>1st Floor - Patio (2nd Living)</t>
        </is>
      </c>
      <c r="D242" s="7" t="inlineStr">
        <is>
          <t>Flooring</t>
        </is>
      </c>
      <c r="E242" s="7" t="n"/>
      <c r="F242" s="7" t="n"/>
      <c r="G242" s="7" t="n"/>
      <c r="H242" s="7" t="n"/>
      <c r="I242" s="8" t="n"/>
      <c r="J242" s="8" t="n"/>
      <c r="K242" s="8" t="n"/>
      <c r="L242" s="8" t="inlineStr">
        <is>
          <t>Not run</t>
        </is>
      </c>
      <c r="M242" s="8" t="n"/>
      <c r="N242" s="8" t="n"/>
      <c r="O242" s="7" t="n"/>
      <c r="P242" s="7" t="inlineStr">
        <is>
          <t>Yes</t>
        </is>
      </c>
      <c r="Q242" t="inlineStr">
        <is>
          <t>Proposed</t>
        </is>
      </c>
      <c r="R242" s="20" t="n"/>
      <c r="S242" s="39" t="n"/>
    </row>
    <row r="243">
      <c r="A243" s="7" t="inlineStr">
        <is>
          <t>UH-101</t>
        </is>
      </c>
      <c r="B243" s="7" t="inlineStr">
        <is>
          <t>Outdoor Living</t>
        </is>
      </c>
      <c r="C243" s="7" t="inlineStr">
        <is>
          <t>1st Floor - Patio (2nd Kitchen)</t>
        </is>
      </c>
      <c r="D243" s="7" t="inlineStr">
        <is>
          <t>Flooring</t>
        </is>
      </c>
      <c r="E243" s="7" t="n"/>
      <c r="F243" s="7" t="n"/>
      <c r="G243" s="7" t="n"/>
      <c r="H243" s="7" t="n"/>
      <c r="I243" s="8" t="n"/>
      <c r="J243" s="8" t="n"/>
      <c r="K243" s="8" t="n"/>
      <c r="L243" s="8" t="inlineStr">
        <is>
          <t>Not run</t>
        </is>
      </c>
      <c r="M243" s="8" t="n"/>
      <c r="N243" s="8" t="n"/>
      <c r="O243" s="7" t="n"/>
      <c r="P243" s="7" t="inlineStr">
        <is>
          <t>Yes</t>
        </is>
      </c>
      <c r="Q243" t="inlineStr">
        <is>
          <t>Proposed</t>
        </is>
      </c>
      <c r="R243" s="20" t="n"/>
      <c r="S243" s="39" t="n"/>
    </row>
    <row r="244">
      <c r="A244" s="7" t="inlineStr">
        <is>
          <t>UH-101</t>
        </is>
      </c>
      <c r="B244" s="7" t="inlineStr">
        <is>
          <t>Outdoor Living</t>
        </is>
      </c>
      <c r="C244" s="7" t="inlineStr">
        <is>
          <t>2nd Floor - Terrace (Bedroom 2)</t>
        </is>
      </c>
      <c r="D244" s="7" t="inlineStr">
        <is>
          <t>Flooring</t>
        </is>
      </c>
      <c r="E244" s="7" t="n"/>
      <c r="F244" s="7" t="n"/>
      <c r="G244" s="7" t="n"/>
      <c r="H244" s="7" t="n"/>
      <c r="I244" s="8" t="n"/>
      <c r="J244" s="8" t="n"/>
      <c r="K244" s="8" t="n"/>
      <c r="L244" s="8" t="inlineStr">
        <is>
          <t>Not run</t>
        </is>
      </c>
      <c r="M244" s="8" t="n"/>
      <c r="N244" s="8" t="n"/>
      <c r="O244" s="7" t="n"/>
      <c r="P244" s="7" t="inlineStr">
        <is>
          <t>Yes</t>
        </is>
      </c>
      <c r="Q244" t="inlineStr">
        <is>
          <t>Proposed</t>
        </is>
      </c>
      <c r="R244" s="20" t="n"/>
      <c r="S244" s="39" t="n"/>
    </row>
    <row r="245">
      <c r="A245" s="7" t="inlineStr">
        <is>
          <t>UH-101</t>
        </is>
      </c>
      <c r="B245" s="7" t="inlineStr">
        <is>
          <t>Outdoor Living</t>
        </is>
      </c>
      <c r="C245" s="7" t="inlineStr">
        <is>
          <t>2nd Floor - Terrace (Bedroom 2)</t>
        </is>
      </c>
      <c r="D245" s="7" t="inlineStr">
        <is>
          <t>Light Fixture - Fan</t>
        </is>
      </c>
      <c r="E245" s="7" t="n"/>
      <c r="F245" s="7" t="n"/>
      <c r="G245" s="7" t="n"/>
      <c r="H245" s="7" t="n"/>
      <c r="I245" s="8" t="n"/>
      <c r="J245" s="8" t="n"/>
      <c r="K245" s="8" t="n"/>
      <c r="L245" s="8" t="inlineStr">
        <is>
          <t>Not run</t>
        </is>
      </c>
      <c r="M245" s="8" t="n"/>
      <c r="N245" s="8" t="n"/>
      <c r="O245" s="7" t="n"/>
      <c r="P245" s="7" t="inlineStr">
        <is>
          <t>Yes</t>
        </is>
      </c>
      <c r="Q245" t="inlineStr">
        <is>
          <t>Proposed</t>
        </is>
      </c>
      <c r="R245" s="20" t="n"/>
      <c r="S245" s="39" t="n"/>
    </row>
    <row r="246">
      <c r="A246" s="7" t="inlineStr">
        <is>
          <t>UH-101</t>
        </is>
      </c>
      <c r="B246" s="7" t="inlineStr">
        <is>
          <t>Outdoor Living</t>
        </is>
      </c>
      <c r="C246" s="7" t="inlineStr">
        <is>
          <t>2nd Floor - Terrace (Media Room)</t>
        </is>
      </c>
      <c r="D246" s="7" t="inlineStr">
        <is>
          <t>Flooring</t>
        </is>
      </c>
      <c r="E246" s="7" t="n"/>
      <c r="F246" s="7" t="n"/>
      <c r="G246" s="7" t="n"/>
      <c r="H246" s="7" t="n"/>
      <c r="I246" s="8" t="n"/>
      <c r="J246" s="8" t="n"/>
      <c r="K246" s="8" t="n"/>
      <c r="L246" s="8" t="inlineStr">
        <is>
          <t>Not run</t>
        </is>
      </c>
      <c r="M246" s="8" t="n"/>
      <c r="N246" s="8" t="n"/>
      <c r="O246" s="7" t="n"/>
      <c r="P246" s="7" t="inlineStr">
        <is>
          <t>Yes</t>
        </is>
      </c>
      <c r="Q246" t="inlineStr">
        <is>
          <t>Proposed</t>
        </is>
      </c>
      <c r="R246" s="20" t="n"/>
      <c r="S246" s="39" t="n"/>
    </row>
    <row r="247">
      <c r="A247" s="7" t="inlineStr">
        <is>
          <t>UH-101</t>
        </is>
      </c>
      <c r="B247" s="7" t="inlineStr">
        <is>
          <t>Garage</t>
        </is>
      </c>
      <c r="C247" s="7" t="inlineStr">
        <is>
          <t>3-car</t>
        </is>
      </c>
      <c r="D247" s="7" t="inlineStr">
        <is>
          <t>Garage doors</t>
        </is>
      </c>
      <c r="E247" s="7" t="n"/>
      <c r="F247" s="7" t="n"/>
      <c r="G247" s="7" t="n"/>
      <c r="H247" s="7" t="n"/>
      <c r="I247" s="8" t="n"/>
      <c r="J247" s="8" t="n"/>
      <c r="K247" s="8" t="n"/>
      <c r="L247" s="8" t="inlineStr">
        <is>
          <t>Not run</t>
        </is>
      </c>
      <c r="M247" s="8" t="n"/>
      <c r="N247" s="8" t="n"/>
      <c r="O247" s="7" t="n"/>
      <c r="P247" s="7" t="inlineStr">
        <is>
          <t>Yes</t>
        </is>
      </c>
      <c r="Q247" t="inlineStr">
        <is>
          <t>Proposed</t>
        </is>
      </c>
      <c r="R247" s="20" t="n"/>
      <c r="S247" s="39" t="n"/>
    </row>
    <row r="248">
      <c r="A248" s="7" t="inlineStr">
        <is>
          <t>UH-101</t>
        </is>
      </c>
      <c r="B248" s="7" t="inlineStr">
        <is>
          <t>Garage</t>
        </is>
      </c>
      <c r="C248" s="7" t="inlineStr">
        <is>
          <t>3-car</t>
        </is>
      </c>
      <c r="D248" s="7" t="inlineStr">
        <is>
          <t>Flooring - car ports</t>
        </is>
      </c>
      <c r="E248" s="7" t="n"/>
      <c r="F248" s="7" t="n"/>
      <c r="G248" s="7" t="n"/>
      <c r="H248" s="7" t="n"/>
      <c r="I248" s="8" t="n"/>
      <c r="J248" s="8" t="n"/>
      <c r="K248" s="8" t="n"/>
      <c r="L248" s="8" t="inlineStr">
        <is>
          <t>Not run</t>
        </is>
      </c>
      <c r="M248" s="8" t="n"/>
      <c r="N248" s="8" t="n"/>
      <c r="O248" s="7" t="n"/>
      <c r="P248" s="7" t="inlineStr">
        <is>
          <t>Yes</t>
        </is>
      </c>
      <c r="Q248" t="inlineStr">
        <is>
          <t>Proposed</t>
        </is>
      </c>
      <c r="R248" s="20" t="n"/>
      <c r="S248" s="39" t="n"/>
    </row>
    <row r="249">
      <c r="A249" s="7" t="inlineStr">
        <is>
          <t>UH-101</t>
        </is>
      </c>
      <c r="B249" s="7" t="inlineStr">
        <is>
          <t>Garage</t>
        </is>
      </c>
      <c r="C249" s="7" t="inlineStr">
        <is>
          <t>3-car</t>
        </is>
      </c>
      <c r="D249" s="7" t="inlineStr">
        <is>
          <t>Flooring - storage</t>
        </is>
      </c>
      <c r="E249" s="7" t="n"/>
      <c r="F249" s="7" t="n"/>
      <c r="G249" s="7" t="n"/>
      <c r="H249" s="7" t="n"/>
      <c r="I249" s="8" t="n"/>
      <c r="J249" s="8" t="n"/>
      <c r="K249" s="8" t="n"/>
      <c r="L249" s="8" t="inlineStr">
        <is>
          <t>Not run</t>
        </is>
      </c>
      <c r="M249" s="8" t="n"/>
      <c r="N249" s="8" t="n"/>
      <c r="O249" s="7" t="n"/>
      <c r="P249" s="7" t="inlineStr">
        <is>
          <t>Yes</t>
        </is>
      </c>
      <c r="Q249" t="inlineStr">
        <is>
          <t>Proposed</t>
        </is>
      </c>
      <c r="R249" s="20" t="n"/>
      <c r="S249" s="39" t="n"/>
    </row>
    <row r="250">
      <c r="A250" s="7" t="inlineStr">
        <is>
          <t>UH-101</t>
        </is>
      </c>
      <c r="B250" s="7" t="inlineStr">
        <is>
          <t>Bulk Items</t>
        </is>
      </c>
      <c r="C250" s="7" t="n"/>
      <c r="D250" s="7" t="inlineStr">
        <is>
          <t>Cabinets</t>
        </is>
      </c>
      <c r="E250" s="7" t="n"/>
      <c r="F250" s="7" t="n"/>
      <c r="G250" s="7" t="n"/>
      <c r="H250" s="7" t="n"/>
      <c r="I250" s="8" t="n"/>
      <c r="J250" s="8" t="n"/>
      <c r="K250" s="8" t="n"/>
      <c r="L250" s="8" t="inlineStr">
        <is>
          <t>Not run</t>
        </is>
      </c>
      <c r="M250" s="8" t="n"/>
      <c r="N250" s="8" t="n"/>
      <c r="O250" s="7" t="n"/>
      <c r="P250" s="7" t="inlineStr">
        <is>
          <t>Yes</t>
        </is>
      </c>
      <c r="Q250" t="inlineStr">
        <is>
          <t>Proposed</t>
        </is>
      </c>
      <c r="R250" s="20" t="n"/>
      <c r="S250" s="39" t="n"/>
    </row>
    <row r="251">
      <c r="A251" s="7" t="inlineStr">
        <is>
          <t>UH-101</t>
        </is>
      </c>
      <c r="B251" s="7" t="inlineStr">
        <is>
          <t>Bulk Items</t>
        </is>
      </c>
      <c r="C251" s="7" t="n"/>
      <c r="D251" s="7" t="inlineStr">
        <is>
          <t>Roof</t>
        </is>
      </c>
      <c r="E251" s="7" t="n"/>
      <c r="F251" s="7" t="n"/>
      <c r="G251" s="7" t="n"/>
      <c r="H251" s="7" t="n"/>
      <c r="I251" s="8" t="n"/>
      <c r="J251" s="8" t="n"/>
      <c r="K251" s="8" t="n"/>
      <c r="L251" s="8" t="inlineStr">
        <is>
          <t>Not run</t>
        </is>
      </c>
      <c r="M251" s="8" t="n"/>
      <c r="N251" s="8" t="n"/>
      <c r="O251" s="7" t="n"/>
      <c r="P251" s="7" t="inlineStr">
        <is>
          <t>Yes</t>
        </is>
      </c>
      <c r="Q251" t="inlineStr">
        <is>
          <t>Proposed</t>
        </is>
      </c>
      <c r="R251" s="20" t="n"/>
      <c r="S251" s="39" t="n"/>
    </row>
    <row r="252">
      <c r="A252" s="7" t="inlineStr">
        <is>
          <t>UH-101</t>
        </is>
      </c>
      <c r="B252" s="7" t="inlineStr">
        <is>
          <t>Bulk Items</t>
        </is>
      </c>
      <c r="C252" s="7" t="n"/>
      <c r="D252" s="7" t="inlineStr">
        <is>
          <t>Paint - Interior</t>
        </is>
      </c>
      <c r="E252" s="7" t="n"/>
      <c r="F252" s="7" t="n"/>
      <c r="G252" s="7" t="n"/>
      <c r="H252" s="7" t="n"/>
      <c r="I252" s="8" t="n"/>
      <c r="J252" s="8" t="n"/>
      <c r="K252" s="8" t="n"/>
      <c r="L252" s="8" t="inlineStr">
        <is>
          <t>Not run</t>
        </is>
      </c>
      <c r="M252" s="8" t="n"/>
      <c r="N252" s="8" t="n"/>
      <c r="O252" s="7" t="n"/>
      <c r="P252" s="7" t="inlineStr">
        <is>
          <t>Yes</t>
        </is>
      </c>
      <c r="Q252" t="inlineStr">
        <is>
          <t>Proposed</t>
        </is>
      </c>
      <c r="R252" s="20" t="n"/>
      <c r="S252" s="39" t="n"/>
    </row>
    <row r="253">
      <c r="A253" s="7" t="inlineStr">
        <is>
          <t>UH-101</t>
        </is>
      </c>
      <c r="B253" s="7" t="inlineStr">
        <is>
          <t>Bulk Items</t>
        </is>
      </c>
      <c r="C253" s="7" t="n"/>
      <c r="D253" s="7" t="inlineStr">
        <is>
          <t>Paint - Exterior</t>
        </is>
      </c>
      <c r="E253" s="7" t="n"/>
      <c r="F253" s="7" t="n"/>
      <c r="G253" s="7" t="n"/>
      <c r="H253" s="7" t="n"/>
      <c r="I253" s="8" t="n"/>
      <c r="J253" s="8" t="n"/>
      <c r="K253" s="8" t="n"/>
      <c r="L253" s="8" t="inlineStr">
        <is>
          <t>Not run</t>
        </is>
      </c>
      <c r="M253" s="8" t="n"/>
      <c r="N253" s="8" t="n"/>
      <c r="O253" s="7" t="n"/>
      <c r="P253" s="7" t="inlineStr">
        <is>
          <t>Yes</t>
        </is>
      </c>
      <c r="Q253" t="inlineStr">
        <is>
          <t>Proposed</t>
        </is>
      </c>
      <c r="R253" s="20" t="n"/>
      <c r="S253" s="39" t="n"/>
    </row>
    <row r="254">
      <c r="A254" s="7" t="inlineStr">
        <is>
          <t>UH-101</t>
        </is>
      </c>
      <c r="B254" s="7" t="inlineStr">
        <is>
          <t>Bulk Items</t>
        </is>
      </c>
      <c r="C254" s="7" t="n"/>
      <c r="D254" s="7" t="inlineStr">
        <is>
          <t>Baseboards</t>
        </is>
      </c>
      <c r="E254" s="7" t="n"/>
      <c r="F254" s="7" t="n"/>
      <c r="G254" s="7" t="n"/>
      <c r="H254" s="7" t="n"/>
      <c r="I254" s="8" t="n"/>
      <c r="J254" s="8" t="n"/>
      <c r="K254" s="8" t="n"/>
      <c r="L254" s="8" t="inlineStr">
        <is>
          <t>Not run</t>
        </is>
      </c>
      <c r="M254" s="8" t="n"/>
      <c r="N254" s="8" t="n"/>
      <c r="O254" s="7" t="n"/>
      <c r="P254" s="7" t="inlineStr">
        <is>
          <t>Yes</t>
        </is>
      </c>
      <c r="Q254" t="inlineStr">
        <is>
          <t>Proposed</t>
        </is>
      </c>
      <c r="R254" s="20" t="n"/>
      <c r="S254" s="39" t="n"/>
    </row>
    <row r="255">
      <c r="A255" s="7" t="inlineStr">
        <is>
          <t>UH-101</t>
        </is>
      </c>
      <c r="B255" s="7" t="inlineStr">
        <is>
          <t>Bulk Items</t>
        </is>
      </c>
      <c r="C255" s="7" t="n"/>
      <c r="D255" s="7" t="inlineStr">
        <is>
          <t>Hardware - Knobs</t>
        </is>
      </c>
      <c r="E255" s="7" t="n"/>
      <c r="F255" s="7" t="n"/>
      <c r="G255" s="7" t="n"/>
      <c r="H255" s="7" t="n"/>
      <c r="I255" s="8" t="n"/>
      <c r="J255" s="8" t="n"/>
      <c r="K255" s="8" t="n"/>
      <c r="L255" s="8" t="inlineStr">
        <is>
          <t>Not run</t>
        </is>
      </c>
      <c r="M255" s="8" t="n"/>
      <c r="N255" s="8" t="n"/>
      <c r="O255" s="7" t="n"/>
      <c r="P255" s="7" t="inlineStr">
        <is>
          <t>Yes</t>
        </is>
      </c>
      <c r="Q255" t="inlineStr">
        <is>
          <t>Proposed</t>
        </is>
      </c>
      <c r="R255" s="20" t="n"/>
      <c r="S255" s="39" t="n"/>
    </row>
    <row r="256">
      <c r="A256" s="7" t="inlineStr">
        <is>
          <t>UH-101</t>
        </is>
      </c>
      <c r="B256" s="7" t="inlineStr">
        <is>
          <t>Bulk Items</t>
        </is>
      </c>
      <c r="C256" s="7" t="n"/>
      <c r="D256" s="7" t="inlineStr">
        <is>
          <t>Foundation</t>
        </is>
      </c>
      <c r="E256" s="7" t="n"/>
      <c r="F256" s="7" t="n"/>
      <c r="G256" s="7" t="n"/>
      <c r="H256" s="7" t="n"/>
      <c r="I256" s="8" t="n"/>
      <c r="J256" s="8" t="n"/>
      <c r="K256" s="8" t="n"/>
      <c r="L256" s="8" t="inlineStr">
        <is>
          <t>Not run</t>
        </is>
      </c>
      <c r="M256" s="8" t="n"/>
      <c r="N256" s="8" t="n"/>
      <c r="O256" s="7" t="n"/>
      <c r="P256" s="7" t="inlineStr">
        <is>
          <t>Yes</t>
        </is>
      </c>
      <c r="Q256" t="inlineStr">
        <is>
          <t>Proposed</t>
        </is>
      </c>
      <c r="R256" s="20" t="n"/>
      <c r="S256" s="39" t="n"/>
    </row>
    <row r="257">
      <c r="A257" s="7" t="inlineStr">
        <is>
          <t>UH-101</t>
        </is>
      </c>
      <c r="B257" s="7" t="inlineStr">
        <is>
          <t>Bulk Items</t>
        </is>
      </c>
      <c r="C257" s="7" t="n"/>
      <c r="D257" s="7" t="inlineStr">
        <is>
          <t>Framing</t>
        </is>
      </c>
      <c r="E257" s="7" t="n"/>
      <c r="F257" s="7" t="n"/>
      <c r="G257" s="7" t="n"/>
      <c r="H257" s="7" t="n"/>
      <c r="I257" s="8" t="n"/>
      <c r="J257" s="8" t="n"/>
      <c r="K257" s="8" t="n"/>
      <c r="L257" s="8" t="inlineStr">
        <is>
          <t>Not run</t>
        </is>
      </c>
      <c r="M257" s="8" t="n"/>
      <c r="N257" s="8" t="n"/>
      <c r="O257" s="7" t="n"/>
      <c r="P257" s="7" t="inlineStr">
        <is>
          <t>Yes</t>
        </is>
      </c>
      <c r="Q257" t="inlineStr">
        <is>
          <t>Proposed</t>
        </is>
      </c>
      <c r="R257" s="20" t="n"/>
      <c r="S257" s="39" t="n"/>
    </row>
    <row r="258">
      <c r="A258" s="7" t="inlineStr">
        <is>
          <t>UH-101</t>
        </is>
      </c>
      <c r="B258" s="7" t="inlineStr">
        <is>
          <t>Bulk Items</t>
        </is>
      </c>
      <c r="C258" s="7" t="n"/>
      <c r="D258" s="7" t="inlineStr">
        <is>
          <t>Insulation/Drywall</t>
        </is>
      </c>
      <c r="E258" s="7" t="n"/>
      <c r="F258" s="7" t="n"/>
      <c r="G258" s="7" t="n"/>
      <c r="H258" s="7" t="n"/>
      <c r="I258" s="8" t="n"/>
      <c r="J258" s="8" t="n"/>
      <c r="K258" s="8" t="n"/>
      <c r="L258" s="8" t="inlineStr">
        <is>
          <t>Not run</t>
        </is>
      </c>
      <c r="M258" s="8" t="n"/>
      <c r="N258" s="8" t="n"/>
      <c r="O258" s="7" t="n"/>
      <c r="P258" s="7" t="inlineStr">
        <is>
          <t>Yes</t>
        </is>
      </c>
      <c r="Q258" t="inlineStr">
        <is>
          <t>Proposed</t>
        </is>
      </c>
      <c r="R258" s="20" t="n"/>
      <c r="S258" s="39" t="n"/>
    </row>
    <row r="259">
      <c r="A259" s="7" t="inlineStr">
        <is>
          <t>UH-101</t>
        </is>
      </c>
      <c r="B259" s="7" t="inlineStr">
        <is>
          <t>Bulk Items</t>
        </is>
      </c>
      <c r="C259" s="7" t="n"/>
      <c r="D259" s="7" t="inlineStr">
        <is>
          <t>Masonry</t>
        </is>
      </c>
      <c r="E259" s="7" t="n"/>
      <c r="F259" s="7" t="n"/>
      <c r="G259" s="7" t="n"/>
      <c r="H259" s="7" t="n"/>
      <c r="I259" s="8" t="n"/>
      <c r="J259" s="8" t="n"/>
      <c r="K259" s="8" t="n"/>
      <c r="L259" s="8" t="inlineStr">
        <is>
          <t>Not run</t>
        </is>
      </c>
      <c r="M259" s="8" t="n"/>
      <c r="N259" s="8" t="n"/>
      <c r="O259" s="7" t="n"/>
      <c r="P259" s="7" t="inlineStr">
        <is>
          <t>Yes</t>
        </is>
      </c>
      <c r="Q259" t="inlineStr">
        <is>
          <t>Proposed</t>
        </is>
      </c>
      <c r="R259" s="20" t="n"/>
      <c r="S259" s="39" t="n"/>
    </row>
    <row r="260">
      <c r="A260" s="7" t="inlineStr">
        <is>
          <t>UH-101</t>
        </is>
      </c>
      <c r="B260" s="7" t="inlineStr">
        <is>
          <t>Bulk Items</t>
        </is>
      </c>
      <c r="C260" s="7" t="n"/>
      <c r="D260" s="7" t="inlineStr">
        <is>
          <t>Doors</t>
        </is>
      </c>
      <c r="E260" s="7" t="n"/>
      <c r="F260" s="7" t="n"/>
      <c r="G260" s="7" t="n"/>
      <c r="H260" s="7" t="n"/>
      <c r="I260" s="8" t="n"/>
      <c r="J260" s="8" t="n"/>
      <c r="K260" s="8" t="n"/>
      <c r="L260" s="8" t="inlineStr">
        <is>
          <t>Not run</t>
        </is>
      </c>
      <c r="M260" s="8" t="n"/>
      <c r="N260" s="8" t="n"/>
      <c r="O260" s="7" t="n"/>
      <c r="P260" s="7" t="inlineStr">
        <is>
          <t>Yes</t>
        </is>
      </c>
      <c r="Q260" t="inlineStr">
        <is>
          <t>Proposed</t>
        </is>
      </c>
      <c r="R260" s="20" t="n"/>
      <c r="S260" s="39" t="n"/>
    </row>
    <row r="261">
      <c r="A261" s="7" t="inlineStr">
        <is>
          <t>UH-101</t>
        </is>
      </c>
      <c r="B261" s="7" t="inlineStr">
        <is>
          <t>Bulk Items</t>
        </is>
      </c>
      <c r="C261" s="7" t="n"/>
      <c r="D261" s="7" t="inlineStr">
        <is>
          <t>Windows</t>
        </is>
      </c>
      <c r="E261" s="7" t="n"/>
      <c r="F261" s="7" t="n"/>
      <c r="G261" s="7" t="n"/>
      <c r="H261" s="7" t="n"/>
      <c r="I261" s="8" t="n"/>
      <c r="J261" s="8" t="n"/>
      <c r="K261" s="8" t="n"/>
      <c r="L261" s="8" t="inlineStr">
        <is>
          <t>Not run</t>
        </is>
      </c>
      <c r="M261" s="8" t="n"/>
      <c r="N261" s="8" t="n"/>
      <c r="O261" s="7" t="n"/>
      <c r="P261" s="7" t="inlineStr">
        <is>
          <t>Yes</t>
        </is>
      </c>
      <c r="Q261" t="inlineStr">
        <is>
          <t>Proposed</t>
        </is>
      </c>
      <c r="R261" s="20" t="n"/>
      <c r="S261" s="39" t="n"/>
    </row>
    <row r="262">
      <c r="A262" s="7" t="inlineStr">
        <is>
          <t>UH-101</t>
        </is>
      </c>
      <c r="B262" s="7" t="inlineStr">
        <is>
          <t>Bulk Items</t>
        </is>
      </c>
      <c r="C262" s="7" t="n"/>
      <c r="D262" s="7" t="inlineStr">
        <is>
          <t>Plumbing</t>
        </is>
      </c>
      <c r="E262" s="7" t="n"/>
      <c r="F262" s="7" t="n"/>
      <c r="G262" s="7" t="n"/>
      <c r="H262" s="7" t="n"/>
      <c r="I262" s="8" t="n"/>
      <c r="J262" s="8" t="n"/>
      <c r="K262" s="8" t="n"/>
      <c r="L262" s="8" t="inlineStr">
        <is>
          <t>Not run</t>
        </is>
      </c>
      <c r="M262" s="8" t="n"/>
      <c r="N262" s="8" t="n"/>
      <c r="O262" s="7" t="n"/>
      <c r="P262" s="7" t="inlineStr">
        <is>
          <t>Yes</t>
        </is>
      </c>
      <c r="Q262" t="inlineStr">
        <is>
          <t>Proposed</t>
        </is>
      </c>
      <c r="R262" s="20" t="n"/>
      <c r="S262" s="39" t="n"/>
    </row>
    <row r="263">
      <c r="A263" s="7" t="inlineStr">
        <is>
          <t>UH-101</t>
        </is>
      </c>
      <c r="B263" s="7" t="inlineStr">
        <is>
          <t>Bulk Items</t>
        </is>
      </c>
      <c r="C263" s="7" t="n"/>
      <c r="D263" s="7" t="inlineStr">
        <is>
          <t>Electrical</t>
        </is>
      </c>
      <c r="E263" s="7" t="n"/>
      <c r="F263" s="7" t="n"/>
      <c r="G263" s="7" t="n"/>
      <c r="H263" s="7" t="n"/>
      <c r="I263" s="8" t="n"/>
      <c r="J263" s="8" t="n"/>
      <c r="K263" s="8" t="n"/>
      <c r="L263" s="8" t="inlineStr">
        <is>
          <t>Not run</t>
        </is>
      </c>
      <c r="M263" s="8" t="n"/>
      <c r="N263" s="8" t="n"/>
      <c r="O263" s="7" t="n"/>
      <c r="P263" s="7" t="inlineStr">
        <is>
          <t>Yes</t>
        </is>
      </c>
      <c r="Q263" t="inlineStr">
        <is>
          <t>Proposed</t>
        </is>
      </c>
      <c r="R263" s="20" t="n"/>
      <c r="S263" s="39" t="n"/>
    </row>
    <row r="264">
      <c r="A264" s="7" t="inlineStr">
        <is>
          <t>UH-101</t>
        </is>
      </c>
      <c r="B264" s="7" t="inlineStr">
        <is>
          <t>Bulk Items</t>
        </is>
      </c>
      <c r="C264" s="7" t="n"/>
      <c r="D264" s="7" t="inlineStr">
        <is>
          <t>HVAC</t>
        </is>
      </c>
      <c r="E264" s="7" t="n"/>
      <c r="F264" s="7" t="n"/>
      <c r="G264" s="7" t="n"/>
      <c r="H264" s="7" t="n"/>
      <c r="I264" s="8" t="n"/>
      <c r="J264" s="8" t="n"/>
      <c r="K264" s="8" t="n"/>
      <c r="L264" s="8" t="inlineStr">
        <is>
          <t>Not run</t>
        </is>
      </c>
      <c r="M264" s="8" t="n"/>
      <c r="N264" s="8" t="n"/>
      <c r="O264" s="7" t="n"/>
      <c r="P264" s="7" t="inlineStr">
        <is>
          <t>Yes</t>
        </is>
      </c>
      <c r="Q264" t="inlineStr">
        <is>
          <t>Proposed</t>
        </is>
      </c>
      <c r="R264" s="20" t="n"/>
      <c r="S264" s="39" t="n"/>
    </row>
    <row r="265">
      <c r="A265" s="7" t="inlineStr">
        <is>
          <t>UH-101</t>
        </is>
      </c>
      <c r="B265" s="7" t="inlineStr">
        <is>
          <t>Bulk Items</t>
        </is>
      </c>
      <c r="C265" s="7" t="n"/>
      <c r="D265" s="7" t="inlineStr">
        <is>
          <t>Water Heater</t>
        </is>
      </c>
      <c r="E265" s="7" t="n"/>
      <c r="F265" s="7" t="n"/>
      <c r="G265" s="7" t="n"/>
      <c r="H265" s="7" t="n"/>
      <c r="I265" s="8" t="n"/>
      <c r="J265" s="8" t="n"/>
      <c r="K265" s="8" t="n"/>
      <c r="L265" s="8" t="inlineStr">
        <is>
          <t>Not run</t>
        </is>
      </c>
      <c r="M265" s="8" t="n"/>
      <c r="N265" s="8" t="n"/>
      <c r="O265" s="7" t="n"/>
      <c r="P265" s="7" t="inlineStr">
        <is>
          <t>Yes</t>
        </is>
      </c>
      <c r="Q265" t="inlineStr">
        <is>
          <t>Proposed</t>
        </is>
      </c>
      <c r="R265" s="20" t="n"/>
      <c r="S265" s="39" t="n"/>
    </row>
    <row r="266">
      <c r="A266" s="7" t="inlineStr">
        <is>
          <t>UH-101</t>
        </is>
      </c>
      <c r="B266" s="7" t="inlineStr">
        <is>
          <t>Bulk Items</t>
        </is>
      </c>
      <c r="C266" s="7" t="n"/>
      <c r="D266" s="7" t="inlineStr">
        <is>
          <t>Water Purification System</t>
        </is>
      </c>
      <c r="E266" s="7" t="n"/>
      <c r="F266" s="7" t="n"/>
      <c r="G266" s="7" t="n"/>
      <c r="H266" s="7" t="n"/>
      <c r="I266" s="8" t="n"/>
      <c r="J266" s="8" t="n"/>
      <c r="K266" s="8" t="n"/>
      <c r="L266" s="8" t="inlineStr">
        <is>
          <t>Not run</t>
        </is>
      </c>
      <c r="M266" s="8" t="n"/>
      <c r="N266" s="8" t="n"/>
      <c r="O266" s="7" t="n"/>
      <c r="P266" s="7" t="inlineStr">
        <is>
          <t>Yes</t>
        </is>
      </c>
      <c r="Q266" t="inlineStr">
        <is>
          <t>Proposed</t>
        </is>
      </c>
      <c r="R266" s="20" t="n"/>
      <c r="S266" s="39" t="n"/>
    </row>
    <row r="267">
      <c r="A267" s="7" t="inlineStr">
        <is>
          <t>UH-101</t>
        </is>
      </c>
      <c r="B267" s="7" t="inlineStr">
        <is>
          <t>Bulk Items</t>
        </is>
      </c>
      <c r="C267" s="7" t="n"/>
      <c r="D267" s="7" t="inlineStr">
        <is>
          <t>Landscaping</t>
        </is>
      </c>
      <c r="E267" s="7" t="n"/>
      <c r="F267" s="7" t="n"/>
      <c r="G267" s="7" t="n"/>
      <c r="H267" s="7" t="n"/>
      <c r="I267" s="8" t="n"/>
      <c r="J267" s="8" t="n"/>
      <c r="K267" s="8" t="n"/>
      <c r="L267" s="8" t="inlineStr">
        <is>
          <t>Not run</t>
        </is>
      </c>
      <c r="M267" s="8" t="n"/>
      <c r="N267" s="8" t="n"/>
      <c r="O267" s="7" t="n"/>
      <c r="P267" s="7" t="inlineStr">
        <is>
          <t>Yes</t>
        </is>
      </c>
      <c r="Q267" t="inlineStr">
        <is>
          <t>Proposed</t>
        </is>
      </c>
      <c r="R267" s="20" t="n"/>
      <c r="S267" s="39" t="n"/>
    </row>
    <row r="268">
      <c r="A268" s="7" t="inlineStr">
        <is>
          <t>UH-101</t>
        </is>
      </c>
      <c r="B268" s="7" t="inlineStr">
        <is>
          <t>Bulk Items</t>
        </is>
      </c>
      <c r="C268" s="7" t="n"/>
      <c r="D268" s="7" t="inlineStr">
        <is>
          <t>Multi Media System</t>
        </is>
      </c>
      <c r="E268" s="7" t="n"/>
      <c r="F268" s="7" t="n"/>
      <c r="G268" s="7" t="n"/>
      <c r="H268" s="7" t="n"/>
      <c r="I268" s="8" t="n"/>
      <c r="J268" s="8" t="n"/>
      <c r="K268" s="8" t="n"/>
      <c r="L268" s="8" t="inlineStr">
        <is>
          <t>Not run</t>
        </is>
      </c>
      <c r="M268" s="8" t="n"/>
      <c r="N268" s="8" t="n"/>
      <c r="O268" s="7" t="n"/>
      <c r="P268" s="7" t="inlineStr">
        <is>
          <t>Yes</t>
        </is>
      </c>
      <c r="Q268" t="inlineStr">
        <is>
          <t>Proposed</t>
        </is>
      </c>
      <c r="R268" s="20" t="n"/>
      <c r="S268" s="39" t="n"/>
    </row>
    <row r="269">
      <c r="A269" s="7" t="inlineStr">
        <is>
          <t>UH-101</t>
        </is>
      </c>
      <c r="B269" s="7" t="inlineStr">
        <is>
          <t>Bulk Items</t>
        </is>
      </c>
      <c r="C269" s="7" t="n"/>
      <c r="D269" s="7" t="inlineStr">
        <is>
          <t>Smart Home Technology</t>
        </is>
      </c>
      <c r="E269" s="7" t="n"/>
      <c r="F269" s="7" t="n"/>
      <c r="G269" s="7" t="n"/>
      <c r="H269" s="7" t="n"/>
      <c r="I269" s="8" t="n"/>
      <c r="J269" s="8" t="n"/>
      <c r="K269" s="8" t="n"/>
      <c r="L269" s="8" t="inlineStr">
        <is>
          <t>Not run</t>
        </is>
      </c>
      <c r="M269" s="8" t="n"/>
      <c r="N269" s="8" t="n"/>
      <c r="O269" s="7" t="n"/>
      <c r="P269" s="7" t="inlineStr">
        <is>
          <t>Yes</t>
        </is>
      </c>
      <c r="Q269" t="inlineStr">
        <is>
          <t>Proposed</t>
        </is>
      </c>
      <c r="R269" s="20" t="n"/>
      <c r="S269" s="39" t="n"/>
    </row>
    <row r="270">
      <c r="A270" s="1" t="n"/>
      <c r="B270" s="1" t="n"/>
      <c r="C270" s="1" t="n"/>
      <c r="D270" s="1" t="n"/>
      <c r="E270" s="1" t="n"/>
      <c r="F270" s="1" t="n"/>
      <c r="G270" s="1" t="n"/>
      <c r="H270" s="1" t="n"/>
      <c r="I270" s="2" t="n"/>
      <c r="J270" s="2" t="n"/>
      <c r="K270" s="2" t="n"/>
      <c r="L270" s="2" t="n"/>
      <c r="M270" s="2" t="n"/>
      <c r="N270" s="2" t="n"/>
      <c r="O270" s="1" t="n"/>
      <c r="P270" s="1" t="n"/>
      <c r="R270" s="20" t="n"/>
      <c r="S270" s="39" t="n"/>
    </row>
    <row r="271">
      <c r="A271" s="1" t="n"/>
      <c r="B271" s="1" t="n"/>
      <c r="C271" s="1" t="n"/>
      <c r="D271" s="1" t="n"/>
      <c r="E271" s="1" t="n"/>
      <c r="F271" s="1" t="n"/>
      <c r="G271" s="1" t="n"/>
      <c r="H271" s="1" t="n"/>
      <c r="I271" s="2" t="n"/>
      <c r="J271" s="2" t="n"/>
      <c r="K271" s="2" t="n"/>
      <c r="L271" s="2" t="n"/>
      <c r="M271" s="2" t="n"/>
      <c r="N271" s="2" t="n"/>
      <c r="O271" s="1" t="n"/>
      <c r="P271" s="1" t="n"/>
      <c r="R271" s="20" t="n"/>
      <c r="S271" s="39" t="n"/>
    </row>
    <row r="272">
      <c r="A272" s="1" t="n"/>
      <c r="B272" s="1" t="n"/>
      <c r="C272" s="1" t="n"/>
      <c r="D272" s="1" t="n"/>
      <c r="E272" s="1" t="n"/>
      <c r="F272" s="1" t="n"/>
      <c r="G272" s="1" t="n"/>
      <c r="H272" s="1" t="n"/>
      <c r="I272" s="2" t="n"/>
      <c r="J272" s="2" t="n"/>
      <c r="K272" s="2" t="n"/>
      <c r="L272" s="2" t="n"/>
      <c r="M272" s="2" t="n"/>
      <c r="N272" s="2" t="n"/>
      <c r="O272" s="1" t="n"/>
      <c r="P272" s="1" t="n"/>
      <c r="R272" s="20" t="n"/>
      <c r="S272" s="39" t="n"/>
    </row>
    <row r="273">
      <c r="A273" s="1" t="n"/>
      <c r="B273" s="1" t="n"/>
      <c r="C273" s="1" t="n"/>
      <c r="D273" s="1" t="n"/>
      <c r="E273" s="1" t="n"/>
      <c r="F273" s="1" t="n"/>
      <c r="G273" s="1" t="n"/>
      <c r="H273" s="1" t="n"/>
      <c r="I273" s="2" t="n"/>
      <c r="J273" s="2" t="n"/>
      <c r="K273" s="2" t="n"/>
      <c r="L273" s="2" t="n"/>
      <c r="M273" s="2" t="n"/>
      <c r="N273" s="2" t="n"/>
      <c r="O273" s="1" t="n"/>
      <c r="P273" s="1" t="n"/>
      <c r="R273" s="20" t="n"/>
      <c r="S273" s="39" t="n"/>
    </row>
    <row r="274">
      <c r="A274" s="1" t="n"/>
      <c r="B274" s="1" t="n"/>
      <c r="C274" s="1" t="n"/>
      <c r="D274" s="1" t="n"/>
      <c r="E274" s="1" t="n"/>
      <c r="F274" s="1" t="n"/>
      <c r="G274" s="1" t="n"/>
      <c r="H274" s="1" t="n"/>
      <c r="I274" s="2" t="n"/>
      <c r="J274" s="2" t="n"/>
      <c r="K274" s="2" t="n"/>
      <c r="L274" s="2" t="n"/>
      <c r="M274" s="2" t="n"/>
      <c r="N274" s="2" t="n"/>
      <c r="O274" s="1" t="n"/>
      <c r="P274" s="1" t="n"/>
      <c r="R274" s="20" t="n"/>
      <c r="S274" s="39" t="n"/>
    </row>
    <row r="275">
      <c r="A275" s="1" t="n"/>
      <c r="B275" s="1" t="n"/>
      <c r="C275" s="1" t="n"/>
      <c r="D275" s="1" t="n"/>
      <c r="E275" s="1" t="n"/>
      <c r="F275" s="1" t="n"/>
      <c r="G275" s="1" t="n"/>
      <c r="H275" s="1" t="n"/>
      <c r="I275" s="2" t="n"/>
      <c r="J275" s="2" t="n"/>
      <c r="K275" s="2" t="n"/>
      <c r="L275" s="2" t="n"/>
      <c r="M275" s="2" t="n"/>
      <c r="N275" s="2" t="n"/>
      <c r="O275" s="1" t="n"/>
      <c r="P275" s="1" t="n"/>
      <c r="R275" s="20" t="n"/>
      <c r="S275" s="39" t="n"/>
    </row>
    <row r="276">
      <c r="A276" s="1" t="n"/>
      <c r="B276" s="1" t="n"/>
      <c r="C276" s="1" t="n"/>
      <c r="D276" s="1" t="n"/>
      <c r="E276" s="1" t="n"/>
      <c r="F276" s="1" t="n"/>
      <c r="G276" s="1" t="n"/>
      <c r="H276" s="1" t="n"/>
      <c r="I276" s="2" t="n"/>
      <c r="J276" s="2" t="n"/>
      <c r="K276" s="2" t="n"/>
      <c r="L276" s="2" t="n"/>
      <c r="M276" s="2" t="n"/>
      <c r="N276" s="2" t="n"/>
      <c r="O276" s="1" t="n"/>
      <c r="P276" s="1" t="n"/>
      <c r="R276" s="20" t="n"/>
      <c r="S276" s="39" t="n"/>
    </row>
    <row r="277">
      <c r="A277" s="1" t="n"/>
      <c r="B277" s="1" t="n"/>
      <c r="C277" s="1" t="n"/>
      <c r="D277" s="1" t="n"/>
      <c r="E277" s="1" t="n"/>
      <c r="F277" s="1" t="n"/>
      <c r="G277" s="1" t="n"/>
      <c r="H277" s="1" t="n"/>
      <c r="I277" s="2" t="n"/>
      <c r="J277" s="2" t="n"/>
      <c r="K277" s="2" t="n"/>
      <c r="L277" s="2" t="n"/>
      <c r="M277" s="2" t="n"/>
      <c r="N277" s="2" t="n"/>
      <c r="O277" s="1" t="n"/>
      <c r="P277" s="1" t="n"/>
      <c r="R277" s="20" t="n"/>
      <c r="S277" s="39" t="n"/>
    </row>
    <row r="278">
      <c r="A278" s="1" t="n"/>
      <c r="B278" s="1" t="n"/>
      <c r="C278" s="1" t="n"/>
      <c r="D278" s="1" t="n"/>
      <c r="E278" s="1" t="n"/>
      <c r="F278" s="1" t="n"/>
      <c r="G278" s="1" t="n"/>
      <c r="H278" s="1" t="n"/>
      <c r="I278" s="2" t="n"/>
      <c r="J278" s="2" t="n"/>
      <c r="K278" s="2" t="n"/>
      <c r="L278" s="2" t="n"/>
      <c r="M278" s="2" t="n"/>
      <c r="N278" s="2" t="n"/>
      <c r="O278" s="1" t="n"/>
      <c r="P278" s="1" t="n"/>
      <c r="R278" s="20" t="n"/>
      <c r="S278" s="39" t="n"/>
    </row>
    <row r="279">
      <c r="A279" s="1" t="n"/>
      <c r="B279" s="1" t="n"/>
      <c r="C279" s="1" t="n"/>
      <c r="D279" s="1" t="n"/>
      <c r="E279" s="1" t="n"/>
      <c r="F279" s="1" t="n"/>
      <c r="G279" s="1" t="n"/>
      <c r="H279" s="1" t="n"/>
      <c r="I279" s="2" t="n"/>
      <c r="J279" s="2" t="n"/>
      <c r="K279" s="2" t="n"/>
      <c r="L279" s="2" t="n"/>
      <c r="M279" s="2" t="n"/>
      <c r="N279" s="2" t="n"/>
      <c r="O279" s="1" t="n"/>
      <c r="P279" s="1" t="n"/>
      <c r="R279" s="20" t="n"/>
      <c r="S279" s="39" t="n"/>
    </row>
    <row r="280">
      <c r="A280" s="1" t="n"/>
      <c r="B280" s="1" t="n"/>
      <c r="C280" s="1" t="n"/>
      <c r="D280" s="1" t="n"/>
      <c r="E280" s="1" t="n"/>
      <c r="F280" s="1" t="n"/>
      <c r="G280" s="1" t="n"/>
      <c r="H280" s="1" t="n"/>
      <c r="I280" s="2" t="n"/>
      <c r="J280" s="2" t="n"/>
      <c r="K280" s="2" t="n"/>
      <c r="L280" s="2" t="n"/>
      <c r="M280" s="2" t="n"/>
      <c r="N280" s="2" t="n"/>
      <c r="O280" s="1" t="n"/>
      <c r="P280" s="1" t="n"/>
      <c r="R280" s="20" t="n"/>
      <c r="S280" s="39" t="n"/>
    </row>
    <row r="281">
      <c r="A281" s="1" t="n"/>
      <c r="B281" s="1" t="n"/>
      <c r="C281" s="1" t="n"/>
      <c r="D281" s="1" t="n"/>
      <c r="E281" s="1" t="n"/>
      <c r="F281" s="1" t="n"/>
      <c r="G281" s="1" t="n"/>
      <c r="H281" s="1" t="n"/>
      <c r="I281" s="2" t="n"/>
      <c r="J281" s="2" t="n"/>
      <c r="K281" s="2" t="n"/>
      <c r="L281" s="2" t="n"/>
      <c r="M281" s="2" t="n"/>
      <c r="N281" s="2" t="n"/>
      <c r="O281" s="1" t="n"/>
      <c r="P281" s="1" t="n"/>
      <c r="R281" s="20" t="n"/>
      <c r="S281" s="39" t="n"/>
    </row>
    <row r="282">
      <c r="A282" s="1" t="n"/>
      <c r="B282" s="1" t="n"/>
      <c r="C282" s="1" t="n"/>
      <c r="D282" s="1" t="n"/>
      <c r="E282" s="1" t="n"/>
      <c r="F282" s="1" t="n"/>
      <c r="G282" s="1" t="n"/>
      <c r="H282" s="1" t="n"/>
      <c r="I282" s="2" t="n"/>
      <c r="J282" s="2" t="n"/>
      <c r="K282" s="2" t="n"/>
      <c r="L282" s="2" t="n"/>
      <c r="M282" s="2" t="n"/>
      <c r="N282" s="2" t="n"/>
      <c r="O282" s="1" t="n"/>
      <c r="P282" s="1" t="n"/>
      <c r="R282" s="20" t="n"/>
      <c r="S282" s="39" t="n"/>
    </row>
    <row r="283">
      <c r="A283" s="1" t="n"/>
      <c r="B283" s="1" t="n"/>
      <c r="C283" s="1" t="n"/>
      <c r="D283" s="1" t="n"/>
      <c r="E283" s="1" t="n"/>
      <c r="F283" s="1" t="n"/>
      <c r="G283" s="1" t="n"/>
      <c r="H283" s="1" t="n"/>
      <c r="I283" s="2" t="n"/>
      <c r="J283" s="2" t="n"/>
      <c r="K283" s="2" t="n"/>
      <c r="L283" s="2" t="n"/>
      <c r="M283" s="2" t="n"/>
      <c r="N283" s="2" t="n"/>
      <c r="O283" s="1" t="n"/>
      <c r="P283" s="1" t="n"/>
      <c r="R283" s="20" t="n"/>
      <c r="S283" s="39" t="n"/>
    </row>
    <row r="284">
      <c r="A284" s="1" t="n"/>
      <c r="B284" s="1" t="n"/>
      <c r="C284" s="1" t="n"/>
      <c r="D284" s="1" t="n"/>
      <c r="E284" s="1" t="n"/>
      <c r="F284" s="1" t="n"/>
      <c r="G284" s="1" t="n"/>
      <c r="H284" s="1" t="n"/>
      <c r="I284" s="2" t="n"/>
      <c r="J284" s="2" t="n"/>
      <c r="K284" s="2" t="n"/>
      <c r="L284" s="2" t="n"/>
      <c r="M284" s="2" t="n"/>
      <c r="N284" s="2" t="n"/>
      <c r="O284" s="1" t="n"/>
      <c r="P284" s="1" t="n"/>
      <c r="R284" s="20" t="n"/>
      <c r="S284" s="39" t="n"/>
    </row>
    <row r="285">
      <c r="A285" s="1" t="n"/>
      <c r="B285" s="1" t="n"/>
      <c r="C285" s="1" t="n"/>
      <c r="D285" s="1" t="n"/>
      <c r="E285" s="1" t="n"/>
      <c r="F285" s="1" t="n"/>
      <c r="G285" s="1" t="n"/>
      <c r="H285" s="1" t="n"/>
      <c r="I285" s="2" t="n"/>
      <c r="J285" s="2" t="n"/>
      <c r="K285" s="2" t="n"/>
      <c r="L285" s="2" t="n"/>
      <c r="M285" s="2" t="n"/>
      <c r="N285" s="2" t="n"/>
      <c r="O285" s="1" t="n"/>
      <c r="P285" s="1" t="n"/>
      <c r="R285" s="20" t="n"/>
      <c r="S285" s="39" t="n"/>
    </row>
    <row r="286">
      <c r="A286" s="1" t="n"/>
      <c r="B286" s="1" t="n"/>
      <c r="C286" s="1" t="n"/>
      <c r="D286" s="1" t="n"/>
      <c r="E286" s="1" t="n"/>
      <c r="F286" s="1" t="n"/>
      <c r="G286" s="1" t="n"/>
      <c r="H286" s="1" t="n"/>
      <c r="I286" s="2" t="n"/>
      <c r="J286" s="2" t="n"/>
      <c r="K286" s="2" t="n"/>
      <c r="L286" s="2" t="n"/>
      <c r="M286" s="2" t="n"/>
      <c r="N286" s="2" t="n"/>
      <c r="O286" s="1" t="n"/>
      <c r="P286" s="1" t="n"/>
      <c r="R286" s="20" t="n"/>
      <c r="S286" s="39" t="n"/>
    </row>
    <row r="287">
      <c r="A287" s="1" t="n"/>
      <c r="B287" s="1" t="n"/>
      <c r="C287" s="1" t="n"/>
      <c r="D287" s="1" t="n"/>
      <c r="E287" s="1" t="n"/>
      <c r="F287" s="1" t="n"/>
      <c r="G287" s="1" t="n"/>
      <c r="H287" s="1" t="n"/>
      <c r="I287" s="2" t="n"/>
      <c r="J287" s="2" t="n"/>
      <c r="K287" s="2" t="n"/>
      <c r="L287" s="2" t="n"/>
      <c r="M287" s="2" t="n"/>
      <c r="N287" s="2" t="n"/>
      <c r="O287" s="1" t="n"/>
      <c r="P287" s="1" t="n"/>
      <c r="R287" s="20" t="n"/>
      <c r="S287" s="39" t="n"/>
    </row>
    <row r="288">
      <c r="A288" s="1" t="n"/>
      <c r="B288" s="1" t="n"/>
      <c r="C288" s="1" t="n"/>
      <c r="D288" s="1" t="n"/>
      <c r="E288" s="1" t="n"/>
      <c r="F288" s="1" t="n"/>
      <c r="G288" s="1" t="n"/>
      <c r="H288" s="1" t="n"/>
      <c r="I288" s="2" t="n"/>
      <c r="J288" s="2" t="n"/>
      <c r="K288" s="2" t="n"/>
      <c r="L288" s="2" t="n"/>
      <c r="M288" s="2" t="n"/>
      <c r="N288" s="2" t="n"/>
      <c r="O288" s="1" t="n"/>
      <c r="P288" s="1" t="n"/>
      <c r="R288" s="20" t="n"/>
      <c r="S288" s="39" t="n"/>
    </row>
    <row r="289">
      <c r="A289" s="1" t="n"/>
      <c r="B289" s="1" t="n"/>
      <c r="C289" s="1" t="n"/>
      <c r="D289" s="1" t="n"/>
      <c r="E289" s="1" t="n"/>
      <c r="F289" s="1" t="n"/>
      <c r="G289" s="1" t="n"/>
      <c r="H289" s="1" t="n"/>
      <c r="I289" s="2" t="n"/>
      <c r="J289" s="2" t="n"/>
      <c r="K289" s="2" t="n"/>
      <c r="L289" s="2" t="n"/>
      <c r="M289" s="2" t="n"/>
      <c r="N289" s="2" t="n"/>
      <c r="O289" s="1" t="n"/>
      <c r="P289" s="1" t="n"/>
      <c r="R289" s="20" t="n"/>
      <c r="S289" s="39" t="n"/>
    </row>
    <row r="290">
      <c r="A290" s="1" t="n"/>
      <c r="B290" s="1" t="n"/>
      <c r="C290" s="1" t="n"/>
      <c r="D290" s="1" t="n"/>
      <c r="E290" s="1" t="n"/>
      <c r="F290" s="1" t="n"/>
      <c r="G290" s="1" t="n"/>
      <c r="H290" s="1" t="n"/>
      <c r="I290" s="2" t="n"/>
      <c r="J290" s="2" t="n"/>
      <c r="K290" s="2" t="n"/>
      <c r="L290" s="2" t="n"/>
      <c r="M290" s="2" t="n"/>
      <c r="N290" s="2" t="n"/>
      <c r="O290" s="1" t="n"/>
      <c r="P290" s="1" t="n"/>
      <c r="R290" s="20" t="n"/>
      <c r="S290" s="39" t="n"/>
    </row>
    <row r="291">
      <c r="A291" s="1" t="n"/>
      <c r="B291" s="1" t="n"/>
      <c r="C291" s="1" t="n"/>
      <c r="D291" s="1" t="n"/>
      <c r="E291" s="1" t="n"/>
      <c r="F291" s="1" t="n"/>
      <c r="G291" s="1" t="n"/>
      <c r="H291" s="1" t="n"/>
      <c r="I291" s="2" t="n"/>
      <c r="J291" s="2" t="n"/>
      <c r="K291" s="2" t="n"/>
      <c r="L291" s="2" t="n"/>
      <c r="M291" s="2" t="n"/>
      <c r="N291" s="2" t="n"/>
      <c r="O291" s="1" t="n"/>
      <c r="P291" s="1" t="n"/>
      <c r="R291" s="20" t="n"/>
      <c r="S291" s="39" t="n"/>
    </row>
    <row r="292">
      <c r="A292" s="1" t="n"/>
      <c r="B292" s="1" t="n"/>
      <c r="C292" s="1" t="n"/>
      <c r="D292" s="1" t="n"/>
      <c r="E292" s="1" t="n"/>
      <c r="F292" s="1" t="n"/>
      <c r="G292" s="1" t="n"/>
      <c r="H292" s="1" t="n"/>
      <c r="I292" s="2" t="n"/>
      <c r="J292" s="2" t="n"/>
      <c r="K292" s="2" t="n"/>
      <c r="L292" s="2" t="n"/>
      <c r="M292" s="2" t="n"/>
      <c r="N292" s="2" t="n"/>
      <c r="O292" s="1" t="n"/>
      <c r="P292" s="1" t="n"/>
      <c r="R292" s="20" t="n"/>
      <c r="S292" s="39" t="n"/>
    </row>
    <row r="293">
      <c r="A293" s="1" t="n"/>
      <c r="B293" s="1" t="n"/>
      <c r="C293" s="1" t="n"/>
      <c r="D293" s="1" t="n"/>
      <c r="E293" s="1" t="n"/>
      <c r="F293" s="1" t="n"/>
      <c r="G293" s="1" t="n"/>
      <c r="H293" s="1" t="n"/>
      <c r="I293" s="2" t="n"/>
      <c r="J293" s="2" t="n"/>
      <c r="K293" s="2" t="n"/>
      <c r="L293" s="2" t="n"/>
      <c r="M293" s="2" t="n"/>
      <c r="N293" s="2" t="n"/>
      <c r="O293" s="1" t="n"/>
      <c r="P293" s="1" t="n"/>
      <c r="R293" s="20" t="n"/>
      <c r="S293" s="39" t="n"/>
    </row>
    <row r="294">
      <c r="A294" s="1" t="n"/>
      <c r="B294" s="1" t="n"/>
      <c r="C294" s="1" t="n"/>
      <c r="D294" s="1" t="n"/>
      <c r="E294" s="1" t="n"/>
      <c r="F294" s="1" t="n"/>
      <c r="G294" s="1" t="n"/>
      <c r="H294" s="1" t="n"/>
      <c r="I294" s="2" t="n"/>
      <c r="J294" s="2" t="n"/>
      <c r="K294" s="2" t="n"/>
      <c r="L294" s="2" t="n"/>
      <c r="M294" s="2" t="n"/>
      <c r="N294" s="2" t="n"/>
      <c r="O294" s="1" t="n"/>
      <c r="P294" s="1" t="n"/>
      <c r="R294" s="20" t="n"/>
      <c r="S294" s="39" t="n"/>
    </row>
    <row r="295">
      <c r="A295" s="1" t="n"/>
      <c r="B295" s="1" t="n"/>
      <c r="C295" s="1" t="n"/>
      <c r="D295" s="1" t="n"/>
      <c r="E295" s="1" t="n"/>
      <c r="F295" s="1" t="n"/>
      <c r="G295" s="1" t="n"/>
      <c r="H295" s="1" t="n"/>
      <c r="I295" s="2" t="n"/>
      <c r="J295" s="2" t="n"/>
      <c r="K295" s="2" t="n"/>
      <c r="L295" s="2" t="n"/>
      <c r="M295" s="2" t="n"/>
      <c r="N295" s="2" t="n"/>
      <c r="O295" s="1" t="n"/>
      <c r="P295" s="1" t="n"/>
      <c r="R295" s="20" t="n"/>
      <c r="S295" s="39" t="n"/>
    </row>
    <row r="296">
      <c r="A296" s="1" t="n"/>
      <c r="B296" s="1" t="n"/>
      <c r="C296" s="1" t="n"/>
      <c r="D296" s="1" t="n"/>
      <c r="E296" s="1" t="n"/>
      <c r="F296" s="1" t="n"/>
      <c r="G296" s="1" t="n"/>
      <c r="H296" s="1" t="n"/>
      <c r="I296" s="2" t="n"/>
      <c r="J296" s="2" t="n"/>
      <c r="K296" s="2" t="n"/>
      <c r="L296" s="2" t="n"/>
      <c r="M296" s="2" t="n"/>
      <c r="N296" s="2" t="n"/>
      <c r="O296" s="1" t="n"/>
      <c r="P296" s="1" t="n"/>
      <c r="R296" s="20" t="n"/>
      <c r="S296" s="39" t="n"/>
    </row>
    <row r="297">
      <c r="A297" s="1" t="n"/>
      <c r="B297" s="1" t="n"/>
      <c r="C297" s="1" t="n"/>
      <c r="D297" s="1" t="n"/>
      <c r="E297" s="1" t="n"/>
      <c r="F297" s="1" t="n"/>
      <c r="G297" s="1" t="n"/>
      <c r="H297" s="1" t="n"/>
      <c r="I297" s="2" t="n"/>
      <c r="J297" s="2" t="n"/>
      <c r="K297" s="2" t="n"/>
      <c r="L297" s="2" t="n"/>
      <c r="M297" s="2" t="n"/>
      <c r="N297" s="2" t="n"/>
      <c r="O297" s="1" t="n"/>
      <c r="P297" s="1" t="n"/>
      <c r="R297" s="20" t="n"/>
      <c r="S297" s="39" t="n"/>
    </row>
    <row r="298">
      <c r="A298" s="1" t="n"/>
      <c r="B298" s="1" t="n"/>
      <c r="C298" s="1" t="n"/>
      <c r="D298" s="1" t="n"/>
      <c r="E298" s="1" t="n"/>
      <c r="F298" s="1" t="n"/>
      <c r="G298" s="1" t="n"/>
      <c r="H298" s="1" t="n"/>
      <c r="I298" s="2" t="n"/>
      <c r="J298" s="2" t="n"/>
      <c r="K298" s="2" t="n"/>
      <c r="L298" s="2" t="n"/>
      <c r="M298" s="2" t="n"/>
      <c r="N298" s="2" t="n"/>
      <c r="O298" s="1" t="n"/>
      <c r="P298" s="1" t="n"/>
      <c r="R298" s="20" t="n"/>
      <c r="S298" s="39" t="n"/>
    </row>
    <row r="299">
      <c r="A299" s="1" t="n"/>
      <c r="B299" s="1" t="n"/>
      <c r="C299" s="1" t="n"/>
      <c r="D299" s="1" t="n"/>
      <c r="E299" s="1" t="n"/>
      <c r="F299" s="1" t="n"/>
      <c r="G299" s="1" t="n"/>
      <c r="H299" s="1" t="n"/>
      <c r="I299" s="2" t="n"/>
      <c r="J299" s="2" t="n"/>
      <c r="K299" s="2" t="n"/>
      <c r="L299" s="2" t="n"/>
      <c r="M299" s="2" t="n"/>
      <c r="N299" s="2" t="n"/>
      <c r="O299" s="1" t="n"/>
      <c r="P299" s="1" t="n"/>
      <c r="R299" s="20" t="n"/>
      <c r="S299" s="39" t="n"/>
    </row>
    <row r="300">
      <c r="A300" s="1" t="n"/>
      <c r="B300" s="1" t="n"/>
      <c r="C300" s="1" t="n"/>
      <c r="D300" s="1" t="n"/>
      <c r="E300" s="1" t="n"/>
      <c r="F300" s="1" t="n"/>
      <c r="G300" s="1" t="n"/>
      <c r="H300" s="1" t="n"/>
      <c r="I300" s="2" t="n"/>
      <c r="J300" s="2" t="n"/>
      <c r="K300" s="2" t="n"/>
      <c r="L300" s="2" t="n"/>
      <c r="M300" s="2" t="n"/>
      <c r="N300" s="2" t="n"/>
      <c r="O300" s="1" t="n"/>
      <c r="P300" s="1" t="n"/>
      <c r="R300" s="20" t="n"/>
      <c r="S300" s="39" t="n"/>
    </row>
    <row r="301">
      <c r="A301" s="1" t="n"/>
      <c r="B301" s="1" t="n"/>
      <c r="C301" s="1" t="n"/>
      <c r="D301" s="1" t="n"/>
      <c r="E301" s="1" t="n"/>
      <c r="F301" s="1" t="n"/>
      <c r="G301" s="1" t="n"/>
      <c r="H301" s="1" t="n"/>
      <c r="I301" s="2" t="n"/>
      <c r="J301" s="2" t="n"/>
      <c r="K301" s="2" t="n"/>
      <c r="L301" s="2" t="n"/>
      <c r="M301" s="2" t="n"/>
      <c r="N301" s="2" t="n"/>
      <c r="O301" s="1" t="n"/>
      <c r="P301" s="1" t="n"/>
      <c r="R301" s="20" t="n"/>
      <c r="S301" s="39" t="n"/>
    </row>
    <row r="302">
      <c r="A302" s="1" t="n"/>
      <c r="B302" s="1" t="n"/>
      <c r="C302" s="1" t="n"/>
      <c r="D302" s="1" t="n"/>
      <c r="E302" s="1" t="n"/>
      <c r="F302" s="1" t="n"/>
      <c r="G302" s="1" t="n"/>
      <c r="H302" s="1" t="n"/>
      <c r="I302" s="2" t="n"/>
      <c r="J302" s="2" t="n"/>
      <c r="K302" s="2" t="n"/>
      <c r="L302" s="2" t="n"/>
      <c r="M302" s="2" t="n"/>
      <c r="N302" s="2" t="n"/>
      <c r="O302" s="1" t="n"/>
      <c r="P302" s="1" t="n"/>
      <c r="R302" s="20" t="n"/>
      <c r="S302" s="39" t="n"/>
    </row>
    <row r="303">
      <c r="A303" s="1" t="n"/>
      <c r="B303" s="1" t="n"/>
      <c r="C303" s="1" t="n"/>
      <c r="D303" s="1" t="n"/>
      <c r="E303" s="1" t="n"/>
      <c r="F303" s="1" t="n"/>
      <c r="G303" s="1" t="n"/>
      <c r="H303" s="1" t="n"/>
      <c r="I303" s="2" t="n"/>
      <c r="J303" s="2" t="n"/>
      <c r="K303" s="2" t="n"/>
      <c r="L303" s="2" t="n"/>
      <c r="M303" s="2" t="n"/>
      <c r="N303" s="2" t="n"/>
      <c r="O303" s="1" t="n"/>
      <c r="P303" s="1" t="n"/>
      <c r="R303" s="20" t="n"/>
      <c r="S303" s="39" t="n"/>
    </row>
    <row r="304">
      <c r="A304" s="1" t="n"/>
      <c r="B304" s="1" t="n"/>
      <c r="C304" s="1" t="n"/>
      <c r="D304" s="1" t="n"/>
      <c r="E304" s="1" t="n"/>
      <c r="F304" s="1" t="n"/>
      <c r="G304" s="1" t="n"/>
      <c r="H304" s="1" t="n"/>
      <c r="I304" s="2" t="n"/>
      <c r="J304" s="2" t="n"/>
      <c r="K304" s="2" t="n"/>
      <c r="L304" s="2" t="n"/>
      <c r="M304" s="2" t="n"/>
      <c r="N304" s="2" t="n"/>
      <c r="O304" s="1" t="n"/>
      <c r="P304" s="1" t="n"/>
      <c r="R304" s="20" t="n"/>
      <c r="S304" s="39" t="n"/>
    </row>
    <row r="305">
      <c r="A305" s="1" t="n"/>
      <c r="B305" s="1" t="n"/>
      <c r="C305" s="1" t="n"/>
      <c r="D305" s="1" t="n"/>
      <c r="E305" s="1" t="n"/>
      <c r="F305" s="1" t="n"/>
      <c r="G305" s="1" t="n"/>
      <c r="H305" s="1" t="n"/>
      <c r="I305" s="2" t="n"/>
      <c r="J305" s="2" t="n"/>
      <c r="K305" s="2" t="n"/>
      <c r="L305" s="2" t="n"/>
      <c r="M305" s="2" t="n"/>
      <c r="N305" s="2" t="n"/>
      <c r="O305" s="1" t="n"/>
      <c r="P305" s="1" t="n"/>
      <c r="R305" s="20" t="n"/>
      <c r="S305" s="39" t="n"/>
    </row>
    <row r="306">
      <c r="A306" s="1" t="n"/>
      <c r="B306" s="1" t="n"/>
      <c r="C306" s="1" t="n"/>
      <c r="D306" s="1" t="n"/>
      <c r="E306" s="1" t="n"/>
      <c r="F306" s="1" t="n"/>
      <c r="G306" s="1" t="n"/>
      <c r="H306" s="1" t="n"/>
      <c r="I306" s="2" t="n"/>
      <c r="J306" s="2" t="n"/>
      <c r="K306" s="2" t="n"/>
      <c r="L306" s="2" t="n"/>
      <c r="M306" s="2" t="n"/>
      <c r="N306" s="2" t="n"/>
      <c r="O306" s="1" t="n"/>
      <c r="P306" s="1" t="n"/>
      <c r="R306" s="20" t="n"/>
      <c r="S306" s="39" t="n"/>
    </row>
    <row r="307">
      <c r="A307" s="1" t="n"/>
      <c r="B307" s="1" t="n"/>
      <c r="C307" s="1" t="n"/>
      <c r="D307" s="1" t="n"/>
      <c r="E307" s="1" t="n"/>
      <c r="F307" s="1" t="n"/>
      <c r="G307" s="1" t="n"/>
      <c r="H307" s="1" t="n"/>
      <c r="I307" s="2" t="n"/>
      <c r="J307" s="2" t="n"/>
      <c r="K307" s="2" t="n"/>
      <c r="L307" s="2" t="n"/>
      <c r="M307" s="2" t="n"/>
      <c r="N307" s="2" t="n"/>
      <c r="O307" s="1" t="n"/>
      <c r="P307" s="1" t="n"/>
      <c r="R307" s="20" t="n"/>
      <c r="S307" s="39" t="n"/>
    </row>
    <row r="308">
      <c r="A308" s="1" t="n"/>
      <c r="B308" s="1" t="n"/>
      <c r="C308" s="1" t="n"/>
      <c r="D308" s="1" t="n"/>
      <c r="E308" s="1" t="n"/>
      <c r="F308" s="1" t="n"/>
      <c r="G308" s="1" t="n"/>
      <c r="H308" s="1" t="n"/>
      <c r="I308" s="2" t="n"/>
      <c r="J308" s="2" t="n"/>
      <c r="K308" s="2" t="n"/>
      <c r="L308" s="2" t="n"/>
      <c r="M308" s="2" t="n"/>
      <c r="N308" s="2" t="n"/>
      <c r="O308" s="1" t="n"/>
      <c r="P308" s="1" t="n"/>
      <c r="R308" s="20" t="n"/>
      <c r="S308" s="39" t="n"/>
    </row>
    <row r="309">
      <c r="A309" s="1" t="n"/>
      <c r="B309" s="1" t="n"/>
      <c r="C309" s="1" t="n"/>
      <c r="D309" s="1" t="n"/>
      <c r="E309" s="1" t="n"/>
      <c r="F309" s="1" t="n"/>
      <c r="G309" s="1" t="n"/>
      <c r="H309" s="1" t="n"/>
      <c r="I309" s="2" t="n"/>
      <c r="J309" s="2" t="n"/>
      <c r="K309" s="2" t="n"/>
      <c r="L309" s="2" t="n"/>
      <c r="M309" s="2" t="n"/>
      <c r="N309" s="2" t="n"/>
      <c r="O309" s="1" t="n"/>
      <c r="P309" s="1" t="n"/>
      <c r="R309" s="20" t="n"/>
      <c r="S309" s="39" t="n"/>
    </row>
    <row r="310">
      <c r="A310" s="1" t="n"/>
      <c r="B310" s="1" t="n"/>
      <c r="C310" s="1" t="n"/>
      <c r="D310" s="1" t="n"/>
      <c r="E310" s="1" t="n"/>
      <c r="F310" s="1" t="n"/>
      <c r="G310" s="1" t="n"/>
      <c r="H310" s="1" t="n"/>
      <c r="I310" s="2" t="n"/>
      <c r="J310" s="2" t="n"/>
      <c r="K310" s="2" t="n"/>
      <c r="L310" s="2" t="n"/>
      <c r="M310" s="2" t="n"/>
      <c r="N310" s="2" t="n"/>
      <c r="O310" s="1" t="n"/>
      <c r="P310" s="1" t="n"/>
      <c r="R310" s="20" t="n"/>
      <c r="S310" s="39" t="n"/>
    </row>
    <row r="311">
      <c r="A311" s="1" t="n"/>
      <c r="B311" s="1" t="n"/>
      <c r="C311" s="1" t="n"/>
      <c r="D311" s="1" t="n"/>
      <c r="E311" s="1" t="n"/>
      <c r="F311" s="1" t="n"/>
      <c r="G311" s="1" t="n"/>
      <c r="H311" s="1" t="n"/>
      <c r="I311" s="2" t="n"/>
      <c r="J311" s="2" t="n"/>
      <c r="K311" s="2" t="n"/>
      <c r="L311" s="2" t="n"/>
      <c r="M311" s="2" t="n"/>
      <c r="N311" s="2" t="n"/>
      <c r="O311" s="1" t="n"/>
      <c r="P311" s="1" t="n"/>
      <c r="R311" s="20" t="n"/>
      <c r="S311" s="39" t="n"/>
    </row>
    <row r="312">
      <c r="A312" s="1" t="n"/>
      <c r="B312" s="1" t="n"/>
      <c r="C312" s="1" t="n"/>
      <c r="D312" s="1" t="n"/>
      <c r="E312" s="1" t="n"/>
      <c r="F312" s="1" t="n"/>
      <c r="G312" s="1" t="n"/>
      <c r="H312" s="1" t="n"/>
      <c r="I312" s="2" t="n"/>
      <c r="J312" s="2" t="n"/>
      <c r="K312" s="2" t="n"/>
      <c r="L312" s="2" t="n"/>
      <c r="M312" s="2" t="n"/>
      <c r="N312" s="2" t="n"/>
      <c r="O312" s="1" t="n"/>
      <c r="P312" s="1" t="n"/>
      <c r="R312" s="20" t="n"/>
      <c r="S312" s="39" t="n"/>
    </row>
    <row r="313">
      <c r="A313" s="1" t="n"/>
      <c r="B313" s="1" t="n"/>
      <c r="C313" s="1" t="n"/>
      <c r="D313" s="1" t="n"/>
      <c r="E313" s="1" t="n"/>
      <c r="F313" s="1" t="n"/>
      <c r="G313" s="1" t="n"/>
      <c r="H313" s="1" t="n"/>
      <c r="I313" s="2" t="n"/>
      <c r="J313" s="2" t="n"/>
      <c r="K313" s="2" t="n"/>
      <c r="L313" s="2" t="n"/>
      <c r="M313" s="2" t="n"/>
      <c r="N313" s="2" t="n"/>
      <c r="O313" s="1" t="n"/>
      <c r="P313" s="1" t="n"/>
      <c r="R313" s="20" t="n"/>
      <c r="S313" s="39" t="n"/>
    </row>
    <row r="314">
      <c r="A314" s="1" t="n"/>
      <c r="B314" s="1" t="n"/>
      <c r="C314" s="1" t="n"/>
      <c r="D314" s="1" t="n"/>
      <c r="E314" s="1" t="n"/>
      <c r="F314" s="1" t="n"/>
      <c r="G314" s="1" t="n"/>
      <c r="H314" s="1" t="n"/>
      <c r="I314" s="2" t="n"/>
      <c r="J314" s="2" t="n"/>
      <c r="K314" s="2" t="n"/>
      <c r="L314" s="2" t="n"/>
      <c r="M314" s="2" t="n"/>
      <c r="N314" s="2" t="n"/>
      <c r="O314" s="1" t="n"/>
      <c r="P314" s="1" t="n"/>
      <c r="R314" s="20" t="n"/>
      <c r="S314" s="39" t="n"/>
    </row>
    <row r="315">
      <c r="A315" s="1" t="n"/>
      <c r="B315" s="1" t="n"/>
      <c r="C315" s="1" t="n"/>
      <c r="D315" s="1" t="n"/>
      <c r="E315" s="1" t="n"/>
      <c r="F315" s="1" t="n"/>
      <c r="G315" s="1" t="n"/>
      <c r="H315" s="1" t="n"/>
      <c r="I315" s="2" t="n"/>
      <c r="J315" s="2" t="n"/>
      <c r="K315" s="2" t="n"/>
      <c r="L315" s="2" t="n"/>
      <c r="M315" s="2" t="n"/>
      <c r="N315" s="2" t="n"/>
      <c r="O315" s="1" t="n"/>
      <c r="P315" s="1" t="n"/>
      <c r="R315" s="20" t="n"/>
      <c r="S315" s="39" t="n"/>
    </row>
    <row r="316">
      <c r="A316" s="1" t="n"/>
      <c r="B316" s="1" t="n"/>
      <c r="C316" s="1" t="n"/>
      <c r="D316" s="1" t="n"/>
      <c r="E316" s="1" t="n"/>
      <c r="F316" s="1" t="n"/>
      <c r="G316" s="1" t="n"/>
      <c r="H316" s="1" t="n"/>
      <c r="I316" s="2" t="n"/>
      <c r="J316" s="2" t="n"/>
      <c r="K316" s="2" t="n"/>
      <c r="L316" s="2" t="n"/>
      <c r="M316" s="2" t="n"/>
      <c r="N316" s="2" t="n"/>
      <c r="O316" s="1" t="n"/>
      <c r="P316" s="1" t="n"/>
      <c r="R316" s="20" t="n"/>
      <c r="S316" s="39" t="n"/>
    </row>
    <row r="317">
      <c r="A317" s="1" t="n"/>
      <c r="B317" s="1" t="n"/>
      <c r="C317" s="1" t="n"/>
      <c r="D317" s="1" t="n"/>
      <c r="E317" s="1" t="n"/>
      <c r="F317" s="1" t="n"/>
      <c r="G317" s="1" t="n"/>
      <c r="H317" s="1" t="n"/>
      <c r="I317" s="2" t="n"/>
      <c r="J317" s="2" t="n"/>
      <c r="K317" s="2" t="n"/>
      <c r="L317" s="2" t="n"/>
      <c r="M317" s="2" t="n"/>
      <c r="N317" s="2" t="n"/>
      <c r="O317" s="1" t="n"/>
      <c r="P317" s="1" t="n"/>
      <c r="R317" s="20" t="n"/>
      <c r="S317" s="39" t="n"/>
    </row>
    <row r="318">
      <c r="A318" s="1" t="n"/>
      <c r="B318" s="1" t="n"/>
      <c r="C318" s="1" t="n"/>
      <c r="D318" s="1" t="n"/>
      <c r="E318" s="1" t="n"/>
      <c r="F318" s="1" t="n"/>
      <c r="G318" s="1" t="n"/>
      <c r="H318" s="1" t="n"/>
      <c r="I318" s="2" t="n"/>
      <c r="J318" s="2" t="n"/>
      <c r="K318" s="2" t="n"/>
      <c r="L318" s="2" t="n"/>
      <c r="M318" s="2" t="n"/>
      <c r="N318" s="2" t="n"/>
      <c r="O318" s="1" t="n"/>
      <c r="P318" s="1" t="n"/>
      <c r="R318" s="20" t="n"/>
      <c r="S318" s="39" t="n"/>
    </row>
    <row r="319">
      <c r="A319" s="1" t="n"/>
      <c r="B319" s="1" t="n"/>
      <c r="C319" s="1" t="n"/>
      <c r="D319" s="1" t="n"/>
      <c r="E319" s="1" t="n"/>
      <c r="F319" s="1" t="n"/>
      <c r="G319" s="1" t="n"/>
      <c r="H319" s="1" t="n"/>
      <c r="I319" s="2" t="n"/>
      <c r="J319" s="2" t="n"/>
      <c r="K319" s="2" t="n"/>
      <c r="L319" s="2" t="n"/>
      <c r="M319" s="2" t="n"/>
      <c r="N319" s="2" t="n"/>
      <c r="O319" s="1" t="n"/>
      <c r="P319" s="1" t="n"/>
      <c r="R319" s="20" t="n"/>
      <c r="S319" s="39" t="n"/>
    </row>
    <row r="320">
      <c r="A320" s="1" t="n"/>
      <c r="B320" s="1" t="n"/>
      <c r="C320" s="1" t="n"/>
      <c r="D320" s="1" t="n"/>
      <c r="E320" s="1" t="n"/>
      <c r="F320" s="1" t="n"/>
      <c r="G320" s="1" t="n"/>
      <c r="H320" s="1" t="n"/>
      <c r="I320" s="2" t="n"/>
      <c r="J320" s="2" t="n"/>
      <c r="K320" s="2" t="n"/>
      <c r="L320" s="2" t="n"/>
      <c r="M320" s="2" t="n"/>
      <c r="N320" s="2" t="n"/>
      <c r="O320" s="1" t="n"/>
      <c r="P320" s="1" t="n"/>
      <c r="R320" s="20" t="n"/>
      <c r="S320" s="39" t="n"/>
    </row>
    <row r="321">
      <c r="A321" s="1" t="n"/>
      <c r="B321" s="1" t="n"/>
      <c r="C321" s="1" t="n"/>
      <c r="D321" s="1" t="n"/>
      <c r="E321" s="1" t="n"/>
      <c r="F321" s="1" t="n"/>
      <c r="G321" s="1" t="n"/>
      <c r="H321" s="1" t="n"/>
      <c r="I321" s="2" t="n"/>
      <c r="J321" s="2" t="n"/>
      <c r="K321" s="2" t="n"/>
      <c r="L321" s="2" t="n"/>
      <c r="M321" s="2" t="n"/>
      <c r="N321" s="2" t="n"/>
      <c r="O321" s="1" t="n"/>
      <c r="P321" s="1" t="n"/>
      <c r="R321" s="20" t="n"/>
      <c r="S321" s="39" t="n"/>
    </row>
    <row r="322">
      <c r="A322" s="1" t="n"/>
      <c r="B322" s="1" t="n"/>
      <c r="C322" s="1" t="n"/>
      <c r="D322" s="1" t="n"/>
      <c r="E322" s="1" t="n"/>
      <c r="F322" s="1" t="n"/>
      <c r="G322" s="1" t="n"/>
      <c r="H322" s="1" t="n"/>
      <c r="I322" s="2" t="n"/>
      <c r="J322" s="2" t="n"/>
      <c r="K322" s="2" t="n"/>
      <c r="L322" s="2" t="n"/>
      <c r="M322" s="2" t="n"/>
      <c r="N322" s="2" t="n"/>
      <c r="O322" s="1" t="n"/>
      <c r="P322" s="1" t="n"/>
      <c r="R322" s="20" t="n"/>
      <c r="S322" s="39" t="n"/>
    </row>
    <row r="323">
      <c r="A323" s="1" t="n"/>
      <c r="B323" s="1" t="n"/>
      <c r="C323" s="1" t="n"/>
      <c r="D323" s="1" t="n"/>
      <c r="E323" s="1" t="n"/>
      <c r="F323" s="1" t="n"/>
      <c r="G323" s="1" t="n"/>
      <c r="H323" s="1" t="n"/>
      <c r="I323" s="2" t="n"/>
      <c r="J323" s="2" t="n"/>
      <c r="K323" s="2" t="n"/>
      <c r="L323" s="2" t="n"/>
      <c r="M323" s="2" t="n"/>
      <c r="N323" s="2" t="n"/>
      <c r="O323" s="1" t="n"/>
      <c r="P323" s="1" t="n"/>
      <c r="R323" s="20" t="n"/>
      <c r="S323" s="39" t="n"/>
    </row>
    <row r="324">
      <c r="A324" s="1" t="n"/>
      <c r="B324" s="1" t="n"/>
      <c r="C324" s="1" t="n"/>
      <c r="D324" s="1" t="n"/>
      <c r="E324" s="1" t="n"/>
      <c r="F324" s="1" t="n"/>
      <c r="G324" s="1" t="n"/>
      <c r="H324" s="1" t="n"/>
      <c r="I324" s="2" t="n"/>
      <c r="J324" s="2" t="n"/>
      <c r="K324" s="2" t="n"/>
      <c r="L324" s="2" t="n"/>
      <c r="M324" s="2" t="n"/>
      <c r="N324" s="2" t="n"/>
      <c r="O324" s="1" t="n"/>
      <c r="P324" s="1" t="n"/>
      <c r="R324" s="20" t="n"/>
      <c r="S324" s="39" t="n"/>
    </row>
    <row r="325">
      <c r="A325" s="1" t="n"/>
      <c r="B325" s="1" t="n"/>
      <c r="C325" s="1" t="n"/>
      <c r="D325" s="1" t="n"/>
      <c r="E325" s="1" t="n"/>
      <c r="F325" s="1" t="n"/>
      <c r="G325" s="1" t="n"/>
      <c r="H325" s="1" t="n"/>
      <c r="I325" s="2" t="n"/>
      <c r="J325" s="2" t="n"/>
      <c r="K325" s="2" t="n"/>
      <c r="L325" s="2" t="n"/>
      <c r="M325" s="2" t="n"/>
      <c r="N325" s="2" t="n"/>
      <c r="O325" s="1" t="n"/>
      <c r="P325" s="1" t="n"/>
      <c r="R325" s="20" t="n"/>
      <c r="S325" s="39" t="n"/>
    </row>
    <row r="326">
      <c r="A326" s="1" t="n"/>
      <c r="B326" s="1" t="n"/>
      <c r="C326" s="1" t="n"/>
      <c r="D326" s="1" t="n"/>
      <c r="E326" s="1" t="n"/>
      <c r="F326" s="1" t="n"/>
      <c r="G326" s="1" t="n"/>
      <c r="H326" s="1" t="n"/>
      <c r="I326" s="2" t="n"/>
      <c r="J326" s="2" t="n"/>
      <c r="K326" s="2" t="n"/>
      <c r="L326" s="2" t="n"/>
      <c r="M326" s="2" t="n"/>
      <c r="N326" s="2" t="n"/>
      <c r="O326" s="1" t="n"/>
      <c r="P326" s="1" t="n"/>
      <c r="R326" s="20" t="n"/>
      <c r="S326" s="39" t="n"/>
    </row>
    <row r="327">
      <c r="A327" s="1" t="n"/>
      <c r="B327" s="1" t="n"/>
      <c r="C327" s="1" t="n"/>
      <c r="D327" s="1" t="n"/>
      <c r="E327" s="1" t="n"/>
      <c r="F327" s="1" t="n"/>
      <c r="G327" s="1" t="n"/>
      <c r="H327" s="1" t="n"/>
      <c r="I327" s="2" t="n"/>
      <c r="J327" s="2" t="n"/>
      <c r="K327" s="2" t="n"/>
      <c r="L327" s="2" t="n"/>
      <c r="M327" s="2" t="n"/>
      <c r="N327" s="2" t="n"/>
      <c r="O327" s="1" t="n"/>
      <c r="P327" s="1" t="n"/>
      <c r="R327" s="20" t="n"/>
      <c r="S327" s="39" t="n"/>
    </row>
    <row r="328">
      <c r="A328" s="1" t="n"/>
      <c r="B328" s="1" t="n"/>
      <c r="C328" s="1" t="n"/>
      <c r="D328" s="1" t="n"/>
      <c r="E328" s="1" t="n"/>
      <c r="F328" s="1" t="n"/>
      <c r="G328" s="1" t="n"/>
      <c r="H328" s="1" t="n"/>
      <c r="I328" s="2" t="n"/>
      <c r="J328" s="2" t="n"/>
      <c r="K328" s="2" t="n"/>
      <c r="L328" s="2" t="n"/>
      <c r="M328" s="2" t="n"/>
      <c r="N328" s="2" t="n"/>
      <c r="O328" s="1" t="n"/>
      <c r="P328" s="1" t="n"/>
      <c r="R328" s="20" t="n"/>
      <c r="S328" s="39" t="n"/>
    </row>
    <row r="329">
      <c r="A329" s="1" t="n"/>
      <c r="B329" s="1" t="n"/>
      <c r="C329" s="1" t="n"/>
      <c r="D329" s="1" t="n"/>
      <c r="E329" s="1" t="n"/>
      <c r="F329" s="1" t="n"/>
      <c r="G329" s="1" t="n"/>
      <c r="H329" s="1" t="n"/>
      <c r="I329" s="2" t="n"/>
      <c r="J329" s="2" t="n"/>
      <c r="K329" s="2" t="n"/>
      <c r="L329" s="2" t="n"/>
      <c r="M329" s="2" t="n"/>
      <c r="N329" s="2" t="n"/>
      <c r="O329" s="1" t="n"/>
      <c r="P329" s="1" t="n"/>
      <c r="R329" s="20" t="n"/>
      <c r="S329" s="39" t="n"/>
    </row>
    <row r="330">
      <c r="A330" s="1" t="n"/>
      <c r="B330" s="1" t="n"/>
      <c r="C330" s="1" t="n"/>
      <c r="D330" s="1" t="n"/>
      <c r="E330" s="1" t="n"/>
      <c r="F330" s="1" t="n"/>
      <c r="G330" s="1" t="n"/>
      <c r="H330" s="1" t="n"/>
      <c r="I330" s="2" t="n"/>
      <c r="J330" s="2" t="n"/>
      <c r="K330" s="2" t="n"/>
      <c r="L330" s="2" t="n"/>
      <c r="M330" s="2" t="n"/>
      <c r="N330" s="2" t="n"/>
      <c r="O330" s="1" t="n"/>
      <c r="P330" s="1" t="n"/>
      <c r="R330" s="20" t="n"/>
      <c r="S330" s="39" t="n"/>
    </row>
    <row r="331">
      <c r="A331" s="1" t="n"/>
      <c r="B331" s="1" t="n"/>
      <c r="C331" s="1" t="n"/>
      <c r="D331" s="1" t="n"/>
      <c r="E331" s="1" t="n"/>
      <c r="F331" s="1" t="n"/>
      <c r="G331" s="1" t="n"/>
      <c r="H331" s="1" t="n"/>
      <c r="I331" s="2" t="n"/>
      <c r="J331" s="2" t="n"/>
      <c r="K331" s="2" t="n"/>
      <c r="L331" s="2" t="n"/>
      <c r="M331" s="2" t="n"/>
      <c r="N331" s="2" t="n"/>
      <c r="O331" s="1" t="n"/>
      <c r="P331" s="1" t="n"/>
      <c r="R331" s="20" t="n"/>
      <c r="S331" s="39" t="n"/>
    </row>
    <row r="332">
      <c r="A332" s="1" t="n"/>
      <c r="B332" s="1" t="n"/>
      <c r="C332" s="1" t="n"/>
      <c r="D332" s="1" t="n"/>
      <c r="E332" s="1" t="n"/>
      <c r="F332" s="1" t="n"/>
      <c r="G332" s="1" t="n"/>
      <c r="H332" s="1" t="n"/>
      <c r="I332" s="2" t="n"/>
      <c r="J332" s="2" t="n"/>
      <c r="K332" s="2" t="n"/>
      <c r="L332" s="2" t="n"/>
      <c r="M332" s="2" t="n"/>
      <c r="N332" s="2" t="n"/>
      <c r="O332" s="1" t="n"/>
      <c r="P332" s="1" t="n"/>
      <c r="R332" s="20" t="n"/>
      <c r="S332" s="39" t="n"/>
    </row>
    <row r="333">
      <c r="A333" s="1" t="n"/>
      <c r="B333" s="1" t="n"/>
      <c r="C333" s="1" t="n"/>
      <c r="D333" s="1" t="n"/>
      <c r="E333" s="1" t="n"/>
      <c r="F333" s="1" t="n"/>
      <c r="G333" s="1" t="n"/>
      <c r="H333" s="1" t="n"/>
      <c r="I333" s="2" t="n"/>
      <c r="J333" s="2" t="n"/>
      <c r="K333" s="2" t="n"/>
      <c r="L333" s="2" t="n"/>
      <c r="M333" s="2" t="n"/>
      <c r="N333" s="2" t="n"/>
      <c r="O333" s="1" t="n"/>
      <c r="P333" s="1" t="n"/>
      <c r="R333" s="20" t="n"/>
      <c r="S333" s="39" t="n"/>
    </row>
    <row r="334">
      <c r="A334" s="1" t="n"/>
      <c r="B334" s="1" t="n"/>
      <c r="C334" s="1" t="n"/>
      <c r="D334" s="1" t="n"/>
      <c r="E334" s="1" t="n"/>
      <c r="F334" s="1" t="n"/>
      <c r="G334" s="1" t="n"/>
      <c r="H334" s="1" t="n"/>
      <c r="I334" s="2" t="n"/>
      <c r="J334" s="2" t="n"/>
      <c r="K334" s="2" t="n"/>
      <c r="L334" s="2" t="n"/>
      <c r="M334" s="2" t="n"/>
      <c r="N334" s="2" t="n"/>
      <c r="O334" s="1" t="n"/>
      <c r="P334" s="1" t="n"/>
      <c r="R334" s="20" t="n"/>
      <c r="S334" s="39" t="n"/>
    </row>
    <row r="335">
      <c r="A335" s="1" t="n"/>
      <c r="B335" s="1" t="n"/>
      <c r="C335" s="1" t="n"/>
      <c r="D335" s="1" t="n"/>
      <c r="E335" s="1" t="n"/>
      <c r="F335" s="1" t="n"/>
      <c r="G335" s="1" t="n"/>
      <c r="H335" s="1" t="n"/>
      <c r="I335" s="2" t="n"/>
      <c r="J335" s="2" t="n"/>
      <c r="K335" s="2" t="n"/>
      <c r="L335" s="2" t="n"/>
      <c r="M335" s="2" t="n"/>
      <c r="N335" s="2" t="n"/>
      <c r="O335" s="1" t="n"/>
      <c r="P335" s="1" t="n"/>
      <c r="R335" s="20" t="n"/>
      <c r="S335" s="39" t="n"/>
    </row>
    <row r="336">
      <c r="A336" s="1" t="n"/>
      <c r="B336" s="1" t="n"/>
      <c r="C336" s="1" t="n"/>
      <c r="D336" s="1" t="n"/>
      <c r="E336" s="1" t="n"/>
      <c r="F336" s="1" t="n"/>
      <c r="G336" s="1" t="n"/>
      <c r="H336" s="1" t="n"/>
      <c r="I336" s="2" t="n"/>
      <c r="J336" s="2" t="n"/>
      <c r="K336" s="2" t="n"/>
      <c r="L336" s="2" t="n"/>
      <c r="M336" s="2" t="n"/>
      <c r="N336" s="2" t="n"/>
      <c r="O336" s="1" t="n"/>
      <c r="P336" s="1" t="n"/>
      <c r="R336" s="20" t="n"/>
      <c r="S336" s="39" t="n"/>
    </row>
    <row r="337">
      <c r="A337" s="1" t="n"/>
      <c r="B337" s="1" t="n"/>
      <c r="C337" s="1" t="n"/>
      <c r="D337" s="1" t="n"/>
      <c r="E337" s="1" t="n"/>
      <c r="F337" s="1" t="n"/>
      <c r="G337" s="1" t="n"/>
      <c r="H337" s="1" t="n"/>
      <c r="I337" s="2" t="n"/>
      <c r="J337" s="2" t="n"/>
      <c r="K337" s="2" t="n"/>
      <c r="L337" s="2" t="n"/>
      <c r="M337" s="2" t="n"/>
      <c r="N337" s="2" t="n"/>
      <c r="O337" s="1" t="n"/>
      <c r="P337" s="1" t="n"/>
      <c r="R337" s="20" t="n"/>
      <c r="S337" s="39" t="n"/>
    </row>
    <row r="338">
      <c r="A338" s="1" t="n"/>
      <c r="B338" s="1" t="n"/>
      <c r="C338" s="1" t="n"/>
      <c r="D338" s="1" t="n"/>
      <c r="E338" s="1" t="n"/>
      <c r="F338" s="1" t="n"/>
      <c r="G338" s="1" t="n"/>
      <c r="H338" s="1" t="n"/>
      <c r="I338" s="2" t="n"/>
      <c r="J338" s="2" t="n"/>
      <c r="K338" s="2" t="n"/>
      <c r="L338" s="2" t="n"/>
      <c r="M338" s="2" t="n"/>
      <c r="N338" s="2" t="n"/>
      <c r="O338" s="1" t="n"/>
      <c r="P338" s="1" t="n"/>
      <c r="R338" s="20" t="n"/>
      <c r="S338" s="39" t="n"/>
    </row>
    <row r="339">
      <c r="A339" s="1" t="n"/>
      <c r="B339" s="1" t="n"/>
      <c r="C339" s="1" t="n"/>
      <c r="D339" s="1" t="n"/>
      <c r="E339" s="1" t="n"/>
      <c r="F339" s="1" t="n"/>
      <c r="G339" s="1" t="n"/>
      <c r="H339" s="1" t="n"/>
      <c r="I339" s="2" t="n"/>
      <c r="J339" s="2" t="n"/>
      <c r="K339" s="2" t="n"/>
      <c r="L339" s="2" t="n"/>
      <c r="M339" s="2" t="n"/>
      <c r="N339" s="2" t="n"/>
      <c r="O339" s="1" t="n"/>
      <c r="P339" s="1" t="n"/>
      <c r="R339" s="20" t="n"/>
      <c r="S339" s="39" t="n"/>
    </row>
    <row r="340">
      <c r="A340" s="1" t="n"/>
      <c r="B340" s="1" t="n"/>
      <c r="C340" s="1" t="n"/>
      <c r="D340" s="1" t="n"/>
      <c r="E340" s="1" t="n"/>
      <c r="F340" s="1" t="n"/>
      <c r="G340" s="1" t="n"/>
      <c r="H340" s="1" t="n"/>
      <c r="I340" s="2" t="n"/>
      <c r="J340" s="2" t="n"/>
      <c r="K340" s="2" t="n"/>
      <c r="L340" s="2" t="n"/>
      <c r="M340" s="2" t="n"/>
      <c r="N340" s="2" t="n"/>
      <c r="O340" s="1" t="n"/>
      <c r="P340" s="1" t="n"/>
      <c r="R340" s="20" t="n"/>
      <c r="S340" s="39" t="n"/>
    </row>
    <row r="341">
      <c r="A341" s="1" t="n"/>
      <c r="B341" s="1" t="n"/>
      <c r="C341" s="1" t="n"/>
      <c r="D341" s="1" t="n"/>
      <c r="E341" s="1" t="n"/>
      <c r="F341" s="1" t="n"/>
      <c r="G341" s="1" t="n"/>
      <c r="H341" s="1" t="n"/>
      <c r="I341" s="2" t="n"/>
      <c r="J341" s="2" t="n"/>
      <c r="K341" s="2" t="n"/>
      <c r="L341" s="2" t="n"/>
      <c r="M341" s="2" t="n"/>
      <c r="N341" s="2" t="n"/>
      <c r="O341" s="1" t="n"/>
      <c r="P341" s="1" t="n"/>
      <c r="R341" s="20" t="n"/>
      <c r="S341" s="39" t="n"/>
    </row>
    <row r="342">
      <c r="A342" s="1" t="n"/>
      <c r="B342" s="1" t="n"/>
      <c r="C342" s="1" t="n"/>
      <c r="D342" s="1" t="n"/>
      <c r="E342" s="1" t="n"/>
      <c r="F342" s="1" t="n"/>
      <c r="G342" s="1" t="n"/>
      <c r="H342" s="1" t="n"/>
      <c r="I342" s="2" t="n"/>
      <c r="J342" s="2" t="n"/>
      <c r="K342" s="2" t="n"/>
      <c r="L342" s="2" t="n"/>
      <c r="M342" s="2" t="n"/>
      <c r="N342" s="2" t="n"/>
      <c r="O342" s="1" t="n"/>
      <c r="P342" s="1" t="n"/>
      <c r="R342" s="20" t="n"/>
      <c r="S342" s="39" t="n"/>
    </row>
    <row r="343">
      <c r="A343" s="1" t="n"/>
      <c r="B343" s="1" t="n"/>
      <c r="C343" s="1" t="n"/>
      <c r="D343" s="1" t="n"/>
      <c r="E343" s="1" t="n"/>
      <c r="F343" s="1" t="n"/>
      <c r="G343" s="1" t="n"/>
      <c r="H343" s="1" t="n"/>
      <c r="I343" s="2" t="n"/>
      <c r="J343" s="2" t="n"/>
      <c r="K343" s="2" t="n"/>
      <c r="L343" s="2" t="n"/>
      <c r="M343" s="2" t="n"/>
      <c r="N343" s="2" t="n"/>
      <c r="O343" s="1" t="n"/>
      <c r="P343" s="1" t="n"/>
      <c r="R343" s="20" t="n"/>
      <c r="S343" s="39" t="n"/>
    </row>
    <row r="344">
      <c r="A344" s="1" t="n"/>
      <c r="B344" s="1" t="n"/>
      <c r="C344" s="1" t="n"/>
      <c r="D344" s="1" t="n"/>
      <c r="E344" s="1" t="n"/>
      <c r="F344" s="1" t="n"/>
      <c r="G344" s="1" t="n"/>
      <c r="H344" s="1" t="n"/>
      <c r="I344" s="2" t="n"/>
      <c r="J344" s="2" t="n"/>
      <c r="K344" s="2" t="n"/>
      <c r="L344" s="2" t="n"/>
      <c r="M344" s="2" t="n"/>
      <c r="N344" s="2" t="n"/>
      <c r="O344" s="1" t="n"/>
      <c r="P344" s="1" t="n"/>
      <c r="R344" s="20" t="n"/>
      <c r="S344" s="39" t="n"/>
    </row>
    <row r="345">
      <c r="A345" s="1" t="n"/>
      <c r="B345" s="1" t="n"/>
      <c r="C345" s="1" t="n"/>
      <c r="D345" s="1" t="n"/>
      <c r="E345" s="1" t="n"/>
      <c r="F345" s="1" t="n"/>
      <c r="G345" s="1" t="n"/>
      <c r="H345" s="1" t="n"/>
      <c r="I345" s="2" t="n"/>
      <c r="J345" s="2" t="n"/>
      <c r="K345" s="2" t="n"/>
      <c r="L345" s="2" t="n"/>
      <c r="M345" s="2" t="n"/>
      <c r="N345" s="2" t="n"/>
      <c r="O345" s="1" t="n"/>
      <c r="P345" s="1" t="n"/>
      <c r="R345" s="20" t="n"/>
      <c r="S345" s="39" t="n"/>
    </row>
    <row r="346">
      <c r="A346" s="1" t="n"/>
      <c r="B346" s="1" t="n"/>
      <c r="C346" s="1" t="n"/>
      <c r="D346" s="1" t="n"/>
      <c r="E346" s="1" t="n"/>
      <c r="F346" s="1" t="n"/>
      <c r="G346" s="1" t="n"/>
      <c r="H346" s="1" t="n"/>
      <c r="I346" s="2" t="n"/>
      <c r="J346" s="2" t="n"/>
      <c r="K346" s="2" t="n"/>
      <c r="L346" s="2" t="n"/>
      <c r="M346" s="2" t="n"/>
      <c r="N346" s="2" t="n"/>
      <c r="O346" s="1" t="n"/>
      <c r="P346" s="1" t="n"/>
      <c r="R346" s="20" t="n"/>
      <c r="S346" s="39" t="n"/>
    </row>
    <row r="347">
      <c r="A347" s="1" t="n"/>
      <c r="B347" s="1" t="n"/>
      <c r="C347" s="1" t="n"/>
      <c r="D347" s="1" t="n"/>
      <c r="E347" s="1" t="n"/>
      <c r="F347" s="1" t="n"/>
      <c r="G347" s="1" t="n"/>
      <c r="H347" s="1" t="n"/>
      <c r="I347" s="2" t="n"/>
      <c r="J347" s="2" t="n"/>
      <c r="K347" s="2" t="n"/>
      <c r="L347" s="2" t="n"/>
      <c r="M347" s="2" t="n"/>
      <c r="N347" s="2" t="n"/>
      <c r="O347" s="1" t="n"/>
      <c r="P347" s="1" t="n"/>
      <c r="R347" s="20" t="n"/>
      <c r="S347" s="39" t="n"/>
    </row>
    <row r="348">
      <c r="A348" s="1" t="n"/>
      <c r="B348" s="1" t="n"/>
      <c r="C348" s="1" t="n"/>
      <c r="D348" s="1" t="n"/>
      <c r="E348" s="1" t="n"/>
      <c r="F348" s="1" t="n"/>
      <c r="G348" s="1" t="n"/>
      <c r="H348" s="1" t="n"/>
      <c r="I348" s="2" t="n"/>
      <c r="J348" s="2" t="n"/>
      <c r="K348" s="2" t="n"/>
      <c r="L348" s="2" t="n"/>
      <c r="M348" s="2" t="n"/>
      <c r="N348" s="2" t="n"/>
      <c r="O348" s="1" t="n"/>
      <c r="P348" s="1" t="n"/>
      <c r="R348" s="20" t="n"/>
      <c r="S348" s="39" t="n"/>
    </row>
    <row r="349">
      <c r="A349" s="1" t="n"/>
      <c r="B349" s="1" t="n"/>
      <c r="C349" s="1" t="n"/>
      <c r="D349" s="1" t="n"/>
      <c r="E349" s="1" t="n"/>
      <c r="F349" s="1" t="n"/>
      <c r="G349" s="1" t="n"/>
      <c r="H349" s="1" t="n"/>
      <c r="I349" s="2" t="n"/>
      <c r="J349" s="2" t="n"/>
      <c r="K349" s="2" t="n"/>
      <c r="L349" s="2" t="n"/>
      <c r="M349" s="2" t="n"/>
      <c r="N349" s="2" t="n"/>
      <c r="O349" s="1" t="n"/>
      <c r="P349" s="1" t="n"/>
      <c r="R349" s="20" t="n"/>
      <c r="S349" s="39" t="n"/>
    </row>
    <row r="350">
      <c r="A350" s="1" t="n"/>
      <c r="B350" s="1" t="n"/>
      <c r="C350" s="1" t="n"/>
      <c r="D350" s="1" t="n"/>
      <c r="E350" s="1" t="n"/>
      <c r="F350" s="1" t="n"/>
      <c r="G350" s="1" t="n"/>
      <c r="H350" s="1" t="n"/>
      <c r="I350" s="2" t="n"/>
      <c r="J350" s="2" t="n"/>
      <c r="K350" s="2" t="n"/>
      <c r="L350" s="2" t="n"/>
      <c r="M350" s="2" t="n"/>
      <c r="N350" s="2" t="n"/>
      <c r="O350" s="1" t="n"/>
      <c r="P350" s="1" t="n"/>
      <c r="R350" s="20" t="n"/>
      <c r="S350" s="39" t="n"/>
    </row>
    <row r="351">
      <c r="A351" s="1" t="n"/>
      <c r="B351" s="1" t="n"/>
      <c r="C351" s="1" t="n"/>
      <c r="D351" s="1" t="n"/>
      <c r="E351" s="1" t="n"/>
      <c r="F351" s="1" t="n"/>
      <c r="G351" s="1" t="n"/>
      <c r="H351" s="1" t="n"/>
      <c r="I351" s="2" t="n"/>
      <c r="J351" s="2" t="n"/>
      <c r="K351" s="2" t="n"/>
      <c r="L351" s="2" t="n"/>
      <c r="M351" s="2" t="n"/>
      <c r="N351" s="2" t="n"/>
      <c r="O351" s="1" t="n"/>
      <c r="P351" s="1" t="n"/>
      <c r="R351" s="20" t="n"/>
      <c r="S351" s="39" t="n"/>
    </row>
    <row r="352">
      <c r="A352" s="1" t="n"/>
      <c r="B352" s="1" t="n"/>
      <c r="C352" s="1" t="n"/>
      <c r="D352" s="1" t="n"/>
      <c r="E352" s="1" t="n"/>
      <c r="F352" s="1" t="n"/>
      <c r="G352" s="1" t="n"/>
      <c r="H352" s="1" t="n"/>
      <c r="I352" s="2" t="n"/>
      <c r="J352" s="2" t="n"/>
      <c r="K352" s="2" t="n"/>
      <c r="L352" s="2" t="n"/>
      <c r="M352" s="2" t="n"/>
      <c r="N352" s="2" t="n"/>
      <c r="O352" s="1" t="n"/>
      <c r="P352" s="1" t="n"/>
      <c r="R352" s="20" t="n"/>
      <c r="S352" s="39" t="n"/>
    </row>
    <row r="353">
      <c r="A353" s="1" t="n"/>
      <c r="B353" s="1" t="n"/>
      <c r="C353" s="1" t="n"/>
      <c r="D353" s="1" t="n"/>
      <c r="E353" s="1" t="n"/>
      <c r="F353" s="1" t="n"/>
      <c r="G353" s="1" t="n"/>
      <c r="H353" s="1" t="n"/>
      <c r="I353" s="2" t="n"/>
      <c r="J353" s="2" t="n"/>
      <c r="K353" s="2" t="n"/>
      <c r="L353" s="2" t="n"/>
      <c r="M353" s="2" t="n"/>
      <c r="N353" s="2" t="n"/>
      <c r="O353" s="1" t="n"/>
      <c r="P353" s="1" t="n"/>
      <c r="R353" s="20" t="n"/>
      <c r="S353" s="39" t="n"/>
    </row>
    <row r="354">
      <c r="A354" s="1" t="n"/>
      <c r="B354" s="1" t="n"/>
      <c r="C354" s="1" t="n"/>
      <c r="D354" s="1" t="n"/>
      <c r="E354" s="1" t="n"/>
      <c r="F354" s="1" t="n"/>
      <c r="G354" s="1" t="n"/>
      <c r="H354" s="1" t="n"/>
      <c r="I354" s="2" t="n"/>
      <c r="J354" s="2" t="n"/>
      <c r="K354" s="2" t="n"/>
      <c r="L354" s="2" t="n"/>
      <c r="M354" s="2" t="n"/>
      <c r="N354" s="2" t="n"/>
      <c r="O354" s="1" t="n"/>
      <c r="P354" s="1" t="n"/>
      <c r="R354" s="20" t="n"/>
      <c r="S354" s="39" t="n"/>
    </row>
    <row r="355">
      <c r="A355" s="1" t="n"/>
      <c r="B355" s="1" t="n"/>
      <c r="C355" s="1" t="n"/>
      <c r="D355" s="1" t="n"/>
      <c r="E355" s="1" t="n"/>
      <c r="F355" s="1" t="n"/>
      <c r="G355" s="1" t="n"/>
      <c r="H355" s="1" t="n"/>
      <c r="I355" s="2" t="n"/>
      <c r="J355" s="2" t="n"/>
      <c r="K355" s="2" t="n"/>
      <c r="L355" s="2" t="n"/>
      <c r="M355" s="2" t="n"/>
      <c r="N355" s="2" t="n"/>
      <c r="O355" s="1" t="n"/>
      <c r="P355" s="1" t="n"/>
      <c r="R355" s="20" t="n"/>
      <c r="S355" s="39" t="n"/>
    </row>
    <row r="356">
      <c r="A356" s="1" t="n"/>
      <c r="B356" s="1" t="n"/>
      <c r="C356" s="1" t="n"/>
      <c r="D356" s="1" t="n"/>
      <c r="E356" s="1" t="n"/>
      <c r="F356" s="1" t="n"/>
      <c r="G356" s="1" t="n"/>
      <c r="H356" s="1" t="n"/>
      <c r="I356" s="2" t="n"/>
      <c r="J356" s="2" t="n"/>
      <c r="K356" s="2" t="n"/>
      <c r="L356" s="2" t="n"/>
      <c r="M356" s="2" t="n"/>
      <c r="N356" s="2" t="n"/>
      <c r="O356" s="1" t="n"/>
      <c r="P356" s="1" t="n"/>
      <c r="R356" s="20" t="n"/>
      <c r="S356" s="39" t="n"/>
    </row>
    <row r="357">
      <c r="A357" s="1" t="n"/>
      <c r="B357" s="1" t="n"/>
      <c r="C357" s="1" t="n"/>
      <c r="D357" s="1" t="n"/>
      <c r="E357" s="1" t="n"/>
      <c r="F357" s="1" t="n"/>
      <c r="G357" s="1" t="n"/>
      <c r="H357" s="1" t="n"/>
      <c r="I357" s="2" t="n"/>
      <c r="J357" s="2" t="n"/>
      <c r="K357" s="2" t="n"/>
      <c r="L357" s="2" t="n"/>
      <c r="M357" s="2" t="n"/>
      <c r="N357" s="2" t="n"/>
      <c r="O357" s="1" t="n"/>
      <c r="P357" s="1" t="n"/>
      <c r="R357" s="20" t="n"/>
      <c r="S357" s="39" t="n"/>
    </row>
    <row r="358">
      <c r="A358" s="1" t="n"/>
      <c r="B358" s="1" t="n"/>
      <c r="C358" s="1" t="n"/>
      <c r="D358" s="1" t="n"/>
      <c r="E358" s="1" t="n"/>
      <c r="F358" s="1" t="n"/>
      <c r="G358" s="1" t="n"/>
      <c r="H358" s="1" t="n"/>
      <c r="I358" s="2" t="n"/>
      <c r="J358" s="2" t="n"/>
      <c r="K358" s="2" t="n"/>
      <c r="L358" s="2" t="n"/>
      <c r="M358" s="2" t="n"/>
      <c r="N358" s="2" t="n"/>
      <c r="O358" s="1" t="n"/>
      <c r="P358" s="1" t="n"/>
      <c r="R358" s="20" t="n"/>
      <c r="S358" s="39" t="n"/>
    </row>
    <row r="359">
      <c r="A359" s="1" t="n"/>
      <c r="B359" s="1" t="n"/>
      <c r="C359" s="1" t="n"/>
      <c r="D359" s="1" t="n"/>
      <c r="E359" s="1" t="n"/>
      <c r="F359" s="1" t="n"/>
      <c r="G359" s="1" t="n"/>
      <c r="H359" s="1" t="n"/>
      <c r="I359" s="2" t="n"/>
      <c r="J359" s="2" t="n"/>
      <c r="K359" s="2" t="n"/>
      <c r="L359" s="2" t="n"/>
      <c r="M359" s="2" t="n"/>
      <c r="N359" s="2" t="n"/>
      <c r="O359" s="1" t="n"/>
      <c r="P359" s="1" t="n"/>
      <c r="R359" s="20" t="n"/>
      <c r="S359" s="39" t="n"/>
    </row>
    <row r="360">
      <c r="A360" s="1" t="n"/>
      <c r="B360" s="1" t="n"/>
      <c r="C360" s="1" t="n"/>
      <c r="D360" s="1" t="n"/>
      <c r="E360" s="1" t="n"/>
      <c r="F360" s="1" t="n"/>
      <c r="G360" s="1" t="n"/>
      <c r="H360" s="1" t="n"/>
      <c r="I360" s="2" t="n"/>
      <c r="J360" s="2" t="n"/>
      <c r="K360" s="2" t="n"/>
      <c r="L360" s="2" t="n"/>
      <c r="M360" s="2" t="n"/>
      <c r="N360" s="2" t="n"/>
      <c r="O360" s="1" t="n"/>
      <c r="P360" s="1" t="n"/>
      <c r="R360" s="20" t="n"/>
      <c r="S360" s="39" t="n"/>
    </row>
    <row r="361">
      <c r="A361" s="1" t="n"/>
      <c r="B361" s="1" t="n"/>
      <c r="C361" s="1" t="n"/>
      <c r="D361" s="1" t="n"/>
      <c r="E361" s="1" t="n"/>
      <c r="F361" s="1" t="n"/>
      <c r="G361" s="1" t="n"/>
      <c r="H361" s="1" t="n"/>
      <c r="I361" s="2" t="n"/>
      <c r="J361" s="2" t="n"/>
      <c r="K361" s="2" t="n"/>
      <c r="L361" s="2" t="n"/>
      <c r="M361" s="2" t="n"/>
      <c r="N361" s="2" t="n"/>
      <c r="O361" s="1" t="n"/>
      <c r="P361" s="1" t="n"/>
      <c r="R361" s="20" t="n"/>
      <c r="S361" s="39" t="n"/>
    </row>
    <row r="362">
      <c r="A362" s="1" t="n"/>
      <c r="B362" s="1" t="n"/>
      <c r="C362" s="1" t="n"/>
      <c r="D362" s="1" t="n"/>
      <c r="E362" s="1" t="n"/>
      <c r="F362" s="1" t="n"/>
      <c r="G362" s="1" t="n"/>
      <c r="H362" s="1" t="n"/>
      <c r="I362" s="2" t="n"/>
      <c r="J362" s="2" t="n"/>
      <c r="K362" s="2" t="n"/>
      <c r="L362" s="2" t="n"/>
      <c r="M362" s="2" t="n"/>
      <c r="N362" s="2" t="n"/>
      <c r="O362" s="1" t="n"/>
      <c r="P362" s="1" t="n"/>
      <c r="R362" s="20" t="n"/>
      <c r="S362" s="39" t="n"/>
    </row>
    <row r="363">
      <c r="A363" s="1" t="n"/>
      <c r="B363" s="1" t="n"/>
      <c r="C363" s="1" t="n"/>
      <c r="D363" s="1" t="n"/>
      <c r="E363" s="1" t="n"/>
      <c r="F363" s="1" t="n"/>
      <c r="G363" s="1" t="n"/>
      <c r="H363" s="1" t="n"/>
      <c r="I363" s="2" t="n"/>
      <c r="J363" s="2" t="n"/>
      <c r="K363" s="2" t="n"/>
      <c r="L363" s="2" t="n"/>
      <c r="M363" s="2" t="n"/>
      <c r="N363" s="2" t="n"/>
      <c r="O363" s="1" t="n"/>
      <c r="P363" s="1" t="n"/>
      <c r="R363" s="20" t="n"/>
      <c r="S363" s="39" t="n"/>
    </row>
    <row r="364">
      <c r="A364" s="1" t="n"/>
      <c r="B364" s="1" t="n"/>
      <c r="C364" s="1" t="n"/>
      <c r="D364" s="1" t="n"/>
      <c r="E364" s="1" t="n"/>
      <c r="F364" s="1" t="n"/>
      <c r="G364" s="1" t="n"/>
      <c r="H364" s="1" t="n"/>
      <c r="I364" s="2" t="n"/>
      <c r="J364" s="2" t="n"/>
      <c r="K364" s="2" t="n"/>
      <c r="L364" s="2" t="n"/>
      <c r="M364" s="2" t="n"/>
      <c r="N364" s="2" t="n"/>
      <c r="O364" s="1" t="n"/>
      <c r="P364" s="1" t="n"/>
      <c r="R364" s="20" t="n"/>
      <c r="S364" s="39" t="n"/>
    </row>
    <row r="365">
      <c r="A365" s="1" t="n"/>
      <c r="B365" s="1" t="n"/>
      <c r="C365" s="1" t="n"/>
      <c r="D365" s="1" t="n"/>
      <c r="E365" s="1" t="n"/>
      <c r="F365" s="1" t="n"/>
      <c r="G365" s="1" t="n"/>
      <c r="H365" s="1" t="n"/>
      <c r="I365" s="2" t="n"/>
      <c r="J365" s="2" t="n"/>
      <c r="K365" s="2" t="n"/>
      <c r="L365" s="2" t="n"/>
      <c r="M365" s="2" t="n"/>
      <c r="N365" s="2" t="n"/>
      <c r="O365" s="1" t="n"/>
      <c r="P365" s="1" t="n"/>
      <c r="R365" s="20" t="n"/>
      <c r="S365" s="39" t="n"/>
    </row>
    <row r="366">
      <c r="A366" s="1" t="n"/>
      <c r="B366" s="1" t="n"/>
      <c r="C366" s="1" t="n"/>
      <c r="D366" s="1" t="n"/>
      <c r="E366" s="1" t="n"/>
      <c r="F366" s="1" t="n"/>
      <c r="G366" s="1" t="n"/>
      <c r="H366" s="1" t="n"/>
      <c r="I366" s="2" t="n"/>
      <c r="J366" s="2" t="n"/>
      <c r="K366" s="2" t="n"/>
      <c r="L366" s="2" t="n"/>
      <c r="M366" s="2" t="n"/>
      <c r="N366" s="2" t="n"/>
      <c r="O366" s="1" t="n"/>
      <c r="P366" s="1" t="n"/>
      <c r="R366" s="20" t="n"/>
      <c r="S366" s="39" t="n"/>
    </row>
    <row r="367">
      <c r="A367" s="1" t="n"/>
      <c r="B367" s="1" t="n"/>
      <c r="C367" s="1" t="n"/>
      <c r="D367" s="1" t="n"/>
      <c r="E367" s="1" t="n"/>
      <c r="F367" s="1" t="n"/>
      <c r="G367" s="1" t="n"/>
      <c r="H367" s="1" t="n"/>
      <c r="I367" s="2" t="n"/>
      <c r="J367" s="2" t="n"/>
      <c r="K367" s="2" t="n"/>
      <c r="L367" s="2" t="n"/>
      <c r="M367" s="2" t="n"/>
      <c r="N367" s="2" t="n"/>
      <c r="O367" s="1" t="n"/>
      <c r="P367" s="1" t="n"/>
      <c r="R367" s="20" t="n"/>
      <c r="S367" s="39" t="n"/>
    </row>
    <row r="368">
      <c r="A368" s="1" t="n"/>
      <c r="B368" s="1" t="n"/>
      <c r="C368" s="1" t="n"/>
      <c r="D368" s="1" t="n"/>
      <c r="E368" s="1" t="n"/>
      <c r="F368" s="1" t="n"/>
      <c r="G368" s="1" t="n"/>
      <c r="H368" s="1" t="n"/>
      <c r="I368" s="2" t="n"/>
      <c r="J368" s="2" t="n"/>
      <c r="K368" s="2" t="n"/>
      <c r="L368" s="2" t="n"/>
      <c r="M368" s="2" t="n"/>
      <c r="N368" s="2" t="n"/>
      <c r="O368" s="1" t="n"/>
      <c r="P368" s="1" t="n"/>
      <c r="R368" s="20" t="n"/>
      <c r="S368" s="39" t="n"/>
    </row>
    <row r="369">
      <c r="A369" s="1" t="n"/>
      <c r="B369" s="1" t="n"/>
      <c r="C369" s="1" t="n"/>
      <c r="D369" s="1" t="n"/>
      <c r="E369" s="1" t="n"/>
      <c r="F369" s="1" t="n"/>
      <c r="G369" s="1" t="n"/>
      <c r="H369" s="1" t="n"/>
      <c r="I369" s="2" t="n"/>
      <c r="J369" s="2" t="n"/>
      <c r="K369" s="2" t="n"/>
      <c r="L369" s="2" t="n"/>
      <c r="M369" s="2" t="n"/>
      <c r="N369" s="2" t="n"/>
      <c r="O369" s="1" t="n"/>
      <c r="P369" s="1" t="n"/>
      <c r="R369" s="20" t="n"/>
      <c r="S369" s="39" t="n"/>
    </row>
    <row r="370">
      <c r="A370" s="1" t="n"/>
      <c r="B370" s="1" t="n"/>
      <c r="C370" s="1" t="n"/>
      <c r="D370" s="1" t="n"/>
      <c r="E370" s="1" t="n"/>
      <c r="F370" s="1" t="n"/>
      <c r="G370" s="1" t="n"/>
      <c r="H370" s="1" t="n"/>
      <c r="I370" s="2" t="n"/>
      <c r="J370" s="2" t="n"/>
      <c r="K370" s="2" t="n"/>
      <c r="L370" s="2" t="n"/>
      <c r="M370" s="2" t="n"/>
      <c r="N370" s="2" t="n"/>
      <c r="O370" s="1" t="n"/>
      <c r="P370" s="1" t="n"/>
      <c r="R370" s="20" t="n"/>
      <c r="S370" s="39" t="n"/>
    </row>
    <row r="371">
      <c r="A371" s="1" t="n"/>
      <c r="B371" s="1" t="n"/>
      <c r="C371" s="1" t="n"/>
      <c r="D371" s="1" t="n"/>
      <c r="E371" s="1" t="n"/>
      <c r="F371" s="1" t="n"/>
      <c r="G371" s="1" t="n"/>
      <c r="H371" s="1" t="n"/>
      <c r="I371" s="2" t="n"/>
      <c r="J371" s="2" t="n"/>
      <c r="K371" s="2" t="n"/>
      <c r="L371" s="2" t="n"/>
      <c r="M371" s="2" t="n"/>
      <c r="N371" s="2" t="n"/>
      <c r="O371" s="1" t="n"/>
      <c r="P371" s="1" t="n"/>
      <c r="R371" s="20" t="n"/>
      <c r="S371" s="39" t="n"/>
    </row>
    <row r="372">
      <c r="A372" s="1" t="n"/>
      <c r="B372" s="1" t="n"/>
      <c r="C372" s="1" t="n"/>
      <c r="D372" s="1" t="n"/>
      <c r="E372" s="1" t="n"/>
      <c r="F372" s="1" t="n"/>
      <c r="G372" s="1" t="n"/>
      <c r="H372" s="1" t="n"/>
      <c r="I372" s="2" t="n"/>
      <c r="J372" s="2" t="n"/>
      <c r="K372" s="2" t="n"/>
      <c r="L372" s="2" t="n"/>
      <c r="M372" s="2" t="n"/>
      <c r="N372" s="2" t="n"/>
      <c r="O372" s="1" t="n"/>
      <c r="P372" s="1" t="n"/>
      <c r="R372" s="20" t="n"/>
      <c r="S372" s="39" t="n"/>
    </row>
    <row r="373">
      <c r="A373" s="1" t="n"/>
      <c r="B373" s="1" t="n"/>
      <c r="C373" s="1" t="n"/>
      <c r="D373" s="1" t="n"/>
      <c r="E373" s="1" t="n"/>
      <c r="F373" s="1" t="n"/>
      <c r="G373" s="1" t="n"/>
      <c r="H373" s="1" t="n"/>
      <c r="I373" s="2" t="n"/>
      <c r="J373" s="2" t="n"/>
      <c r="K373" s="2" t="n"/>
      <c r="L373" s="2" t="n"/>
      <c r="M373" s="2" t="n"/>
      <c r="N373" s="2" t="n"/>
      <c r="O373" s="1" t="n"/>
      <c r="P373" s="1" t="n"/>
      <c r="R373" s="20" t="n"/>
      <c r="S373" s="39" t="n"/>
    </row>
    <row r="374">
      <c r="A374" s="1" t="n"/>
      <c r="B374" s="1" t="n"/>
      <c r="C374" s="1" t="n"/>
      <c r="D374" s="1" t="n"/>
      <c r="E374" s="1" t="n"/>
      <c r="F374" s="1" t="n"/>
      <c r="G374" s="1" t="n"/>
      <c r="H374" s="1" t="n"/>
      <c r="I374" s="2" t="n"/>
      <c r="J374" s="2" t="n"/>
      <c r="K374" s="2" t="n"/>
      <c r="L374" s="2" t="n"/>
      <c r="M374" s="2" t="n"/>
      <c r="N374" s="2" t="n"/>
      <c r="O374" s="1" t="n"/>
      <c r="P374" s="1" t="n"/>
      <c r="R374" s="20" t="n"/>
      <c r="S374" s="39" t="n"/>
    </row>
    <row r="375">
      <c r="A375" s="1" t="n"/>
      <c r="B375" s="1" t="n"/>
      <c r="C375" s="1" t="n"/>
      <c r="D375" s="1" t="n"/>
      <c r="E375" s="1" t="n"/>
      <c r="F375" s="1" t="n"/>
      <c r="G375" s="1" t="n"/>
      <c r="H375" s="1" t="n"/>
      <c r="I375" s="2" t="n"/>
      <c r="J375" s="2" t="n"/>
      <c r="K375" s="2" t="n"/>
      <c r="L375" s="2" t="n"/>
      <c r="M375" s="2" t="n"/>
      <c r="N375" s="2" t="n"/>
      <c r="O375" s="1" t="n"/>
      <c r="P375" s="1" t="n"/>
      <c r="R375" s="20" t="n"/>
      <c r="S375" s="39" t="n"/>
    </row>
    <row r="376">
      <c r="A376" s="1" t="n"/>
      <c r="B376" s="1" t="n"/>
      <c r="C376" s="1" t="n"/>
      <c r="D376" s="1" t="n"/>
      <c r="E376" s="1" t="n"/>
      <c r="F376" s="1" t="n"/>
      <c r="G376" s="1" t="n"/>
      <c r="H376" s="1" t="n"/>
      <c r="I376" s="2" t="n"/>
      <c r="J376" s="2" t="n"/>
      <c r="K376" s="2" t="n"/>
      <c r="L376" s="2" t="n"/>
      <c r="M376" s="2" t="n"/>
      <c r="N376" s="2" t="n"/>
      <c r="O376" s="1" t="n"/>
      <c r="P376" s="1" t="n"/>
      <c r="R376" s="20" t="n"/>
      <c r="S376" s="39" t="n"/>
    </row>
    <row r="377">
      <c r="A377" s="1" t="n"/>
      <c r="B377" s="1" t="n"/>
      <c r="C377" s="1" t="n"/>
      <c r="D377" s="1" t="n"/>
      <c r="E377" s="1" t="n"/>
      <c r="F377" s="1" t="n"/>
      <c r="G377" s="1" t="n"/>
      <c r="H377" s="1" t="n"/>
      <c r="I377" s="2" t="n"/>
      <c r="J377" s="2" t="n"/>
      <c r="K377" s="2" t="n"/>
      <c r="L377" s="2" t="n"/>
      <c r="M377" s="2" t="n"/>
      <c r="N377" s="2" t="n"/>
      <c r="O377" s="1" t="n"/>
      <c r="P377" s="1" t="n"/>
      <c r="R377" s="20" t="n"/>
      <c r="S377" s="39" t="n"/>
    </row>
    <row r="378">
      <c r="A378" s="1" t="n"/>
      <c r="B378" s="1" t="n"/>
      <c r="C378" s="1" t="n"/>
      <c r="D378" s="1" t="n"/>
      <c r="E378" s="1" t="n"/>
      <c r="F378" s="1" t="n"/>
      <c r="G378" s="1" t="n"/>
      <c r="H378" s="1" t="n"/>
      <c r="I378" s="2" t="n"/>
      <c r="J378" s="2" t="n"/>
      <c r="K378" s="2" t="n"/>
      <c r="L378" s="2" t="n"/>
      <c r="M378" s="2" t="n"/>
      <c r="N378" s="2" t="n"/>
      <c r="O378" s="1" t="n"/>
      <c r="P378" s="1" t="n"/>
      <c r="R378" s="20" t="n"/>
      <c r="S378" s="39" t="n"/>
    </row>
    <row r="379">
      <c r="A379" s="1" t="n"/>
      <c r="B379" s="1" t="n"/>
      <c r="C379" s="1" t="n"/>
      <c r="D379" s="1" t="n"/>
      <c r="E379" s="1" t="n"/>
      <c r="F379" s="1" t="n"/>
      <c r="G379" s="1" t="n"/>
      <c r="H379" s="1" t="n"/>
      <c r="I379" s="2" t="n"/>
      <c r="J379" s="2" t="n"/>
      <c r="K379" s="2" t="n"/>
      <c r="L379" s="2" t="n"/>
      <c r="M379" s="2" t="n"/>
      <c r="N379" s="2" t="n"/>
      <c r="O379" s="1" t="n"/>
      <c r="P379" s="1" t="n"/>
      <c r="R379" s="20" t="n"/>
      <c r="S379" s="39" t="n"/>
    </row>
    <row r="380">
      <c r="A380" s="1" t="n"/>
      <c r="B380" s="1" t="n"/>
      <c r="C380" s="1" t="n"/>
      <c r="D380" s="1" t="n"/>
      <c r="E380" s="1" t="n"/>
      <c r="F380" s="1" t="n"/>
      <c r="G380" s="1" t="n"/>
      <c r="H380" s="1" t="n"/>
      <c r="I380" s="2" t="n"/>
      <c r="J380" s="2" t="n"/>
      <c r="K380" s="2" t="n"/>
      <c r="L380" s="2" t="n"/>
      <c r="M380" s="2" t="n"/>
      <c r="N380" s="2" t="n"/>
      <c r="O380" s="1" t="n"/>
      <c r="P380" s="1" t="n"/>
      <c r="R380" s="20" t="n"/>
      <c r="S380" s="39" t="n"/>
    </row>
    <row r="381">
      <c r="A381" s="1" t="n"/>
      <c r="B381" s="1" t="n"/>
      <c r="C381" s="1" t="n"/>
      <c r="D381" s="1" t="n"/>
      <c r="E381" s="1" t="n"/>
      <c r="F381" s="1" t="n"/>
      <c r="G381" s="1" t="n"/>
      <c r="H381" s="1" t="n"/>
      <c r="I381" s="2" t="n"/>
      <c r="J381" s="2" t="n"/>
      <c r="K381" s="2" t="n"/>
      <c r="L381" s="2" t="n"/>
      <c r="M381" s="2" t="n"/>
      <c r="N381" s="2" t="n"/>
      <c r="O381" s="1" t="n"/>
      <c r="P381" s="1" t="n"/>
      <c r="R381" s="20" t="n"/>
      <c r="S381" s="39" t="n"/>
    </row>
    <row r="382">
      <c r="A382" s="1" t="n"/>
      <c r="B382" s="1" t="n"/>
      <c r="C382" s="1" t="n"/>
      <c r="D382" s="1" t="n"/>
      <c r="E382" s="1" t="n"/>
      <c r="F382" s="1" t="n"/>
      <c r="G382" s="1" t="n"/>
      <c r="H382" s="1" t="n"/>
      <c r="I382" s="2" t="n"/>
      <c r="J382" s="2" t="n"/>
      <c r="K382" s="2" t="n"/>
      <c r="L382" s="2" t="n"/>
      <c r="M382" s="2" t="n"/>
      <c r="N382" s="2" t="n"/>
      <c r="O382" s="1" t="n"/>
      <c r="P382" s="1" t="n"/>
      <c r="R382" s="20" t="n"/>
      <c r="S382" s="39" t="n"/>
    </row>
    <row r="383">
      <c r="A383" s="1" t="n"/>
      <c r="B383" s="1" t="n"/>
      <c r="C383" s="1" t="n"/>
      <c r="D383" s="1" t="n"/>
      <c r="E383" s="1" t="n"/>
      <c r="F383" s="1" t="n"/>
      <c r="G383" s="1" t="n"/>
      <c r="H383" s="1" t="n"/>
      <c r="I383" s="2" t="n"/>
      <c r="J383" s="2" t="n"/>
      <c r="K383" s="2" t="n"/>
      <c r="L383" s="2" t="n"/>
      <c r="M383" s="2" t="n"/>
      <c r="N383" s="2" t="n"/>
      <c r="O383" s="1" t="n"/>
      <c r="P383" s="1" t="n"/>
      <c r="R383" s="20" t="n"/>
      <c r="S383" s="39" t="n"/>
    </row>
    <row r="384">
      <c r="A384" s="1" t="n"/>
      <c r="B384" s="1" t="n"/>
      <c r="C384" s="1" t="n"/>
      <c r="D384" s="1" t="n"/>
      <c r="E384" s="1" t="n"/>
      <c r="F384" s="1" t="n"/>
      <c r="G384" s="1" t="n"/>
      <c r="H384" s="1" t="n"/>
      <c r="I384" s="2" t="n"/>
      <c r="J384" s="2" t="n"/>
      <c r="K384" s="2" t="n"/>
      <c r="L384" s="2" t="n"/>
      <c r="M384" s="2" t="n"/>
      <c r="N384" s="2" t="n"/>
      <c r="O384" s="1" t="n"/>
      <c r="P384" s="1" t="n"/>
      <c r="R384" s="20" t="n"/>
      <c r="S384" s="39" t="n"/>
    </row>
    <row r="385">
      <c r="A385" s="1" t="n"/>
      <c r="B385" s="1" t="n"/>
      <c r="C385" s="1" t="n"/>
      <c r="D385" s="1" t="n"/>
      <c r="E385" s="1" t="n"/>
      <c r="F385" s="1" t="n"/>
      <c r="G385" s="1" t="n"/>
      <c r="H385" s="1" t="n"/>
      <c r="I385" s="2" t="n"/>
      <c r="J385" s="2" t="n"/>
      <c r="K385" s="2" t="n"/>
      <c r="L385" s="2" t="n"/>
      <c r="M385" s="2" t="n"/>
      <c r="N385" s="2" t="n"/>
      <c r="O385" s="1" t="n"/>
      <c r="P385" s="1" t="n"/>
      <c r="R385" s="20" t="n"/>
      <c r="S385" s="39" t="n"/>
    </row>
    <row r="386">
      <c r="A386" s="1" t="n"/>
      <c r="B386" s="1" t="n"/>
      <c r="C386" s="1" t="n"/>
      <c r="D386" s="1" t="n"/>
      <c r="E386" s="1" t="n"/>
      <c r="F386" s="1" t="n"/>
      <c r="G386" s="1" t="n"/>
      <c r="H386" s="1" t="n"/>
      <c r="I386" s="2" t="n"/>
      <c r="J386" s="2" t="n"/>
      <c r="K386" s="2" t="n"/>
      <c r="L386" s="2" t="n"/>
      <c r="M386" s="2" t="n"/>
      <c r="N386" s="2" t="n"/>
      <c r="O386" s="1" t="n"/>
      <c r="P386" s="1" t="n"/>
      <c r="R386" s="20" t="n"/>
      <c r="S386" s="39" t="n"/>
    </row>
    <row r="387">
      <c r="A387" s="1" t="n"/>
      <c r="B387" s="1" t="n"/>
      <c r="C387" s="1" t="n"/>
      <c r="D387" s="1" t="n"/>
      <c r="E387" s="1" t="n"/>
      <c r="F387" s="1" t="n"/>
      <c r="G387" s="1" t="n"/>
      <c r="H387" s="1" t="n"/>
      <c r="I387" s="2" t="n"/>
      <c r="J387" s="2" t="n"/>
      <c r="K387" s="2" t="n"/>
      <c r="L387" s="2" t="n"/>
      <c r="M387" s="2" t="n"/>
      <c r="N387" s="2" t="n"/>
      <c r="O387" s="1" t="n"/>
      <c r="P387" s="1" t="n"/>
      <c r="R387" s="20" t="n"/>
      <c r="S387" s="39" t="n"/>
    </row>
    <row r="388">
      <c r="A388" s="1" t="n"/>
      <c r="B388" s="1" t="n"/>
      <c r="C388" s="1" t="n"/>
      <c r="D388" s="1" t="n"/>
      <c r="E388" s="1" t="n"/>
      <c r="F388" s="1" t="n"/>
      <c r="G388" s="1" t="n"/>
      <c r="H388" s="1" t="n"/>
      <c r="I388" s="2" t="n"/>
      <c r="J388" s="2" t="n"/>
      <c r="K388" s="2" t="n"/>
      <c r="L388" s="2" t="n"/>
      <c r="M388" s="2" t="n"/>
      <c r="N388" s="2" t="n"/>
      <c r="O388" s="1" t="n"/>
      <c r="P388" s="1" t="n"/>
      <c r="R388" s="20" t="n"/>
      <c r="S388" s="39" t="n"/>
    </row>
    <row r="389">
      <c r="A389" s="1" t="n"/>
      <c r="B389" s="1" t="n"/>
      <c r="C389" s="1" t="n"/>
      <c r="D389" s="1" t="n"/>
      <c r="E389" s="1" t="n"/>
      <c r="F389" s="1" t="n"/>
      <c r="G389" s="1" t="n"/>
      <c r="H389" s="1" t="n"/>
      <c r="I389" s="2" t="n"/>
      <c r="J389" s="2" t="n"/>
      <c r="K389" s="2" t="n"/>
      <c r="L389" s="2" t="n"/>
      <c r="M389" s="2" t="n"/>
      <c r="N389" s="2" t="n"/>
      <c r="O389" s="1" t="n"/>
      <c r="P389" s="1" t="n"/>
      <c r="R389" s="20" t="n"/>
      <c r="S389" s="39" t="n"/>
    </row>
    <row r="390">
      <c r="A390" s="1" t="n"/>
      <c r="B390" s="1" t="n"/>
      <c r="C390" s="1" t="n"/>
      <c r="D390" s="1" t="n"/>
      <c r="E390" s="1" t="n"/>
      <c r="F390" s="1" t="n"/>
      <c r="G390" s="1" t="n"/>
      <c r="H390" s="1" t="n"/>
      <c r="I390" s="2" t="n"/>
      <c r="J390" s="2" t="n"/>
      <c r="K390" s="2" t="n"/>
      <c r="L390" s="2" t="n"/>
      <c r="M390" s="2" t="n"/>
      <c r="N390" s="2" t="n"/>
      <c r="O390" s="1" t="n"/>
      <c r="P390" s="1" t="n"/>
      <c r="R390" s="20" t="n"/>
      <c r="S390" s="39" t="n"/>
    </row>
    <row r="391">
      <c r="A391" s="1" t="n"/>
      <c r="B391" s="1" t="n"/>
      <c r="C391" s="1" t="n"/>
      <c r="D391" s="1" t="n"/>
      <c r="E391" s="1" t="n"/>
      <c r="F391" s="1" t="n"/>
      <c r="G391" s="1" t="n"/>
      <c r="H391" s="1" t="n"/>
      <c r="I391" s="2" t="n"/>
      <c r="J391" s="2" t="n"/>
      <c r="K391" s="2" t="n"/>
      <c r="L391" s="2" t="n"/>
      <c r="M391" s="2" t="n"/>
      <c r="N391" s="2" t="n"/>
      <c r="O391" s="1" t="n"/>
      <c r="P391" s="1" t="n"/>
      <c r="R391" s="20" t="n"/>
      <c r="S391" s="39" t="n"/>
    </row>
    <row r="392">
      <c r="A392" s="1" t="n"/>
      <c r="B392" s="1" t="n"/>
      <c r="C392" s="1" t="n"/>
      <c r="D392" s="1" t="n"/>
      <c r="E392" s="1" t="n"/>
      <c r="F392" s="1" t="n"/>
      <c r="G392" s="1" t="n"/>
      <c r="H392" s="1" t="n"/>
      <c r="I392" s="2" t="n"/>
      <c r="J392" s="2" t="n"/>
      <c r="K392" s="2" t="n"/>
      <c r="L392" s="2" t="n"/>
      <c r="M392" s="2" t="n"/>
      <c r="N392" s="2" t="n"/>
      <c r="O392" s="1" t="n"/>
      <c r="P392" s="1" t="n"/>
      <c r="R392" s="20" t="n"/>
      <c r="S392" s="39" t="n"/>
    </row>
    <row r="393">
      <c r="A393" s="1" t="n"/>
      <c r="B393" s="1" t="n"/>
      <c r="C393" s="1" t="n"/>
      <c r="D393" s="1" t="n"/>
      <c r="E393" s="1" t="n"/>
      <c r="F393" s="1" t="n"/>
      <c r="G393" s="1" t="n"/>
      <c r="H393" s="1" t="n"/>
      <c r="I393" s="2" t="n"/>
      <c r="J393" s="2" t="n"/>
      <c r="K393" s="2" t="n"/>
      <c r="L393" s="2" t="n"/>
      <c r="M393" s="2" t="n"/>
      <c r="N393" s="2" t="n"/>
      <c r="O393" s="1" t="n"/>
      <c r="P393" s="1" t="n"/>
      <c r="R393" s="20" t="n"/>
      <c r="S393" s="39" t="n"/>
    </row>
    <row r="394">
      <c r="A394" s="1" t="n"/>
      <c r="B394" s="1" t="n"/>
      <c r="C394" s="1" t="n"/>
      <c r="D394" s="1" t="n"/>
      <c r="E394" s="1" t="n"/>
      <c r="F394" s="1" t="n"/>
      <c r="G394" s="1" t="n"/>
      <c r="H394" s="1" t="n"/>
      <c r="I394" s="2" t="n"/>
      <c r="J394" s="2" t="n"/>
      <c r="K394" s="2" t="n"/>
      <c r="L394" s="2" t="n"/>
      <c r="M394" s="2" t="n"/>
      <c r="N394" s="2" t="n"/>
      <c r="O394" s="1" t="n"/>
      <c r="P394" s="1" t="n"/>
      <c r="R394" s="20" t="n"/>
      <c r="S394" s="39" t="n"/>
    </row>
    <row r="395">
      <c r="A395" s="1" t="n"/>
      <c r="B395" s="1" t="n"/>
      <c r="C395" s="1" t="n"/>
      <c r="D395" s="1" t="n"/>
      <c r="E395" s="1" t="n"/>
      <c r="F395" s="1" t="n"/>
      <c r="G395" s="1" t="n"/>
      <c r="H395" s="1" t="n"/>
      <c r="I395" s="2" t="n"/>
      <c r="J395" s="2" t="n"/>
      <c r="K395" s="2" t="n"/>
      <c r="L395" s="2" t="n"/>
      <c r="M395" s="2" t="n"/>
      <c r="N395" s="2" t="n"/>
      <c r="O395" s="1" t="n"/>
      <c r="P395" s="1" t="n"/>
      <c r="R395" s="20" t="n"/>
      <c r="S395" s="39" t="n"/>
    </row>
    <row r="396">
      <c r="A396" s="1" t="n"/>
      <c r="B396" s="1" t="n"/>
      <c r="C396" s="1" t="n"/>
      <c r="D396" s="1" t="n"/>
      <c r="E396" s="1" t="n"/>
      <c r="F396" s="1" t="n"/>
      <c r="G396" s="1" t="n"/>
      <c r="H396" s="1" t="n"/>
      <c r="I396" s="2" t="n"/>
      <c r="J396" s="2" t="n"/>
      <c r="K396" s="2" t="n"/>
      <c r="L396" s="2" t="n"/>
      <c r="M396" s="2" t="n"/>
      <c r="N396" s="2" t="n"/>
      <c r="O396" s="1" t="n"/>
      <c r="P396" s="1" t="n"/>
      <c r="R396" s="20" t="n"/>
      <c r="S396" s="39" t="n"/>
    </row>
    <row r="397">
      <c r="A397" s="1" t="n"/>
      <c r="B397" s="1" t="n"/>
      <c r="C397" s="1" t="n"/>
      <c r="D397" s="1" t="n"/>
      <c r="E397" s="1" t="n"/>
      <c r="F397" s="1" t="n"/>
      <c r="G397" s="1" t="n"/>
      <c r="H397" s="1" t="n"/>
      <c r="I397" s="2" t="n"/>
      <c r="J397" s="2" t="n"/>
      <c r="K397" s="2" t="n"/>
      <c r="L397" s="2" t="n"/>
      <c r="M397" s="2" t="n"/>
      <c r="N397" s="2" t="n"/>
      <c r="O397" s="1" t="n"/>
      <c r="P397" s="1" t="n"/>
      <c r="R397" s="20" t="n"/>
      <c r="S397" s="39" t="n"/>
    </row>
    <row r="398">
      <c r="A398" s="1" t="n"/>
      <c r="B398" s="1" t="n"/>
      <c r="C398" s="1" t="n"/>
      <c r="D398" s="1" t="n"/>
      <c r="E398" s="1" t="n"/>
      <c r="F398" s="1" t="n"/>
      <c r="G398" s="1" t="n"/>
      <c r="H398" s="1" t="n"/>
      <c r="I398" s="2" t="n"/>
      <c r="J398" s="2" t="n"/>
      <c r="K398" s="2" t="n"/>
      <c r="L398" s="2" t="n"/>
      <c r="M398" s="2" t="n"/>
      <c r="N398" s="2" t="n"/>
      <c r="O398" s="1" t="n"/>
      <c r="P398" s="1" t="n"/>
      <c r="R398" s="20" t="n"/>
      <c r="S398" s="39" t="n"/>
    </row>
    <row r="399">
      <c r="A399" s="1" t="n"/>
      <c r="B399" s="1" t="n"/>
      <c r="C399" s="1" t="n"/>
      <c r="D399" s="1" t="n"/>
      <c r="E399" s="1" t="n"/>
      <c r="F399" s="1" t="n"/>
      <c r="G399" s="1" t="n"/>
      <c r="H399" s="1" t="n"/>
      <c r="I399" s="2" t="n"/>
      <c r="J399" s="2" t="n"/>
      <c r="K399" s="2" t="n"/>
      <c r="L399" s="2" t="n"/>
      <c r="M399" s="2" t="n"/>
      <c r="N399" s="2" t="n"/>
      <c r="O399" s="1" t="n"/>
      <c r="P399" s="1" t="n"/>
      <c r="R399" s="20" t="n"/>
      <c r="S399" s="39" t="n"/>
    </row>
    <row r="400">
      <c r="A400" s="1" t="n"/>
      <c r="B400" s="1" t="n"/>
      <c r="C400" s="1" t="n"/>
      <c r="D400" s="1" t="n"/>
      <c r="E400" s="1" t="n"/>
      <c r="F400" s="1" t="n"/>
      <c r="G400" s="1" t="n"/>
      <c r="H400" s="1" t="n"/>
      <c r="I400" s="2" t="n"/>
      <c r="J400" s="2" t="n"/>
      <c r="K400" s="2" t="n"/>
      <c r="L400" s="2" t="n"/>
      <c r="M400" s="2" t="n"/>
      <c r="N400" s="2" t="n"/>
      <c r="O400" s="1" t="n"/>
      <c r="P400" s="1" t="n"/>
      <c r="R400" s="20" t="n"/>
      <c r="S400" s="39" t="n"/>
    </row>
    <row r="401">
      <c r="A401" s="1" t="n"/>
      <c r="B401" s="1" t="n"/>
      <c r="C401" s="1" t="n"/>
      <c r="D401" s="1" t="n"/>
      <c r="E401" s="1" t="n"/>
      <c r="F401" s="1" t="n"/>
      <c r="G401" s="1" t="n"/>
      <c r="H401" s="1" t="n"/>
      <c r="I401" s="2" t="n"/>
      <c r="J401" s="2" t="n"/>
      <c r="K401" s="2" t="n"/>
      <c r="L401" s="2" t="n"/>
      <c r="M401" s="2" t="n"/>
      <c r="N401" s="2" t="n"/>
      <c r="O401" s="1" t="n"/>
      <c r="P401" s="1" t="n"/>
      <c r="R401" s="20" t="n"/>
      <c r="S401" s="39" t="n"/>
    </row>
    <row r="402">
      <c r="A402" s="1" t="n"/>
      <c r="B402" s="1" t="n"/>
      <c r="C402" s="1" t="n"/>
      <c r="D402" s="1" t="n"/>
      <c r="E402" s="1" t="n"/>
      <c r="F402" s="1" t="n"/>
      <c r="G402" s="1" t="n"/>
      <c r="H402" s="1" t="n"/>
      <c r="I402" s="2" t="n"/>
      <c r="J402" s="2" t="n"/>
      <c r="K402" s="2" t="n"/>
      <c r="L402" s="2" t="n"/>
      <c r="M402" s="2" t="n"/>
      <c r="N402" s="2" t="n"/>
      <c r="O402" s="1" t="n"/>
      <c r="P402" s="1" t="n"/>
      <c r="R402" s="20" t="n"/>
      <c r="S402" s="39" t="n"/>
    </row>
    <row r="403">
      <c r="A403" s="1" t="n"/>
      <c r="B403" s="1" t="n"/>
      <c r="C403" s="1" t="n"/>
      <c r="D403" s="1" t="n"/>
      <c r="E403" s="1" t="n"/>
      <c r="F403" s="1" t="n"/>
      <c r="G403" s="1" t="n"/>
      <c r="H403" s="1" t="n"/>
      <c r="I403" s="2" t="n"/>
      <c r="J403" s="2" t="n"/>
      <c r="K403" s="2" t="n"/>
      <c r="L403" s="2" t="n"/>
      <c r="M403" s="2" t="n"/>
      <c r="N403" s="2" t="n"/>
      <c r="O403" s="1" t="n"/>
      <c r="P403" s="1" t="n"/>
      <c r="R403" s="20" t="n"/>
      <c r="S403" s="39" t="n"/>
    </row>
    <row r="404">
      <c r="A404" s="1" t="n"/>
      <c r="B404" s="1" t="n"/>
      <c r="C404" s="1" t="n"/>
      <c r="D404" s="1" t="n"/>
      <c r="E404" s="1" t="n"/>
      <c r="F404" s="1" t="n"/>
      <c r="G404" s="1" t="n"/>
      <c r="H404" s="1" t="n"/>
      <c r="I404" s="2" t="n"/>
      <c r="J404" s="2" t="n"/>
      <c r="K404" s="2" t="n"/>
      <c r="L404" s="2" t="n"/>
      <c r="M404" s="2" t="n"/>
      <c r="N404" s="2" t="n"/>
      <c r="O404" s="1" t="n"/>
      <c r="P404" s="1" t="n"/>
      <c r="R404" s="20" t="n"/>
      <c r="S404" s="39" t="n"/>
    </row>
    <row r="405">
      <c r="A405" s="1" t="n"/>
      <c r="B405" s="1" t="n"/>
      <c r="C405" s="1" t="n"/>
      <c r="D405" s="1" t="n"/>
      <c r="E405" s="1" t="n"/>
      <c r="F405" s="1" t="n"/>
      <c r="G405" s="1" t="n"/>
      <c r="H405" s="1" t="n"/>
      <c r="I405" s="2" t="n"/>
      <c r="J405" s="2" t="n"/>
      <c r="K405" s="2" t="n"/>
      <c r="L405" s="2" t="n"/>
      <c r="M405" s="2" t="n"/>
      <c r="N405" s="2" t="n"/>
      <c r="O405" s="1" t="n"/>
      <c r="P405" s="1" t="n"/>
      <c r="R405" s="20" t="n"/>
      <c r="S405" s="39" t="n"/>
    </row>
    <row r="406">
      <c r="A406" s="1" t="n"/>
      <c r="B406" s="1" t="n"/>
      <c r="C406" s="1" t="n"/>
      <c r="D406" s="1" t="n"/>
      <c r="E406" s="1" t="n"/>
      <c r="F406" s="1" t="n"/>
      <c r="G406" s="1" t="n"/>
      <c r="H406" s="1" t="n"/>
      <c r="I406" s="2" t="n"/>
      <c r="J406" s="2" t="n"/>
      <c r="K406" s="2" t="n"/>
      <c r="L406" s="2" t="n"/>
      <c r="M406" s="2" t="n"/>
      <c r="N406" s="2" t="n"/>
      <c r="O406" s="1" t="n"/>
      <c r="P406" s="1" t="n"/>
      <c r="R406" s="20" t="n"/>
      <c r="S406" s="39" t="n"/>
    </row>
    <row r="407">
      <c r="A407" s="1" t="n"/>
      <c r="B407" s="1" t="n"/>
      <c r="C407" s="1" t="n"/>
      <c r="D407" s="1" t="n"/>
      <c r="E407" s="1" t="n"/>
      <c r="F407" s="1" t="n"/>
      <c r="G407" s="1" t="n"/>
      <c r="H407" s="1" t="n"/>
      <c r="I407" s="2" t="n"/>
      <c r="J407" s="2" t="n"/>
      <c r="K407" s="2" t="n"/>
      <c r="L407" s="2" t="n"/>
      <c r="M407" s="2" t="n"/>
      <c r="N407" s="2" t="n"/>
      <c r="O407" s="1" t="n"/>
      <c r="P407" s="1" t="n"/>
      <c r="R407" s="20" t="n"/>
      <c r="S407" s="39" t="n"/>
    </row>
    <row r="408">
      <c r="A408" s="1" t="n"/>
      <c r="B408" s="1" t="n"/>
      <c r="C408" s="1" t="n"/>
      <c r="D408" s="1" t="n"/>
      <c r="E408" s="1" t="n"/>
      <c r="F408" s="1" t="n"/>
      <c r="G408" s="1" t="n"/>
      <c r="H408" s="1" t="n"/>
      <c r="I408" s="2" t="n"/>
      <c r="J408" s="2" t="n"/>
      <c r="K408" s="2" t="n"/>
      <c r="L408" s="2" t="n"/>
      <c r="M408" s="2" t="n"/>
      <c r="N408" s="2" t="n"/>
      <c r="O408" s="1" t="n"/>
      <c r="P408" s="1" t="n"/>
      <c r="R408" s="20" t="n"/>
      <c r="S408" s="39" t="n"/>
    </row>
    <row r="409">
      <c r="A409" s="1" t="n"/>
      <c r="B409" s="1" t="n"/>
      <c r="C409" s="1" t="n"/>
      <c r="D409" s="1" t="n"/>
      <c r="E409" s="1" t="n"/>
      <c r="F409" s="1" t="n"/>
      <c r="G409" s="1" t="n"/>
      <c r="H409" s="1" t="n"/>
      <c r="I409" s="2" t="n"/>
      <c r="J409" s="2" t="n"/>
      <c r="K409" s="2" t="n"/>
      <c r="L409" s="2" t="n"/>
      <c r="M409" s="2" t="n"/>
      <c r="N409" s="2" t="n"/>
      <c r="O409" s="1" t="n"/>
      <c r="P409" s="1" t="n"/>
      <c r="R409" s="20" t="n"/>
      <c r="S409" s="39" t="n"/>
    </row>
    <row r="410">
      <c r="A410" s="1" t="n"/>
      <c r="B410" s="1" t="n"/>
      <c r="C410" s="1" t="n"/>
      <c r="D410" s="1" t="n"/>
      <c r="E410" s="1" t="n"/>
      <c r="F410" s="1" t="n"/>
      <c r="G410" s="1" t="n"/>
      <c r="H410" s="1" t="n"/>
      <c r="I410" s="2" t="n"/>
      <c r="J410" s="2" t="n"/>
      <c r="K410" s="2" t="n"/>
      <c r="L410" s="2" t="n"/>
      <c r="M410" s="2" t="n"/>
      <c r="N410" s="2" t="n"/>
      <c r="O410" s="1" t="n"/>
      <c r="P410" s="1" t="n"/>
      <c r="R410" s="20" t="n"/>
      <c r="S410" s="39" t="n"/>
    </row>
    <row r="411">
      <c r="A411" s="1" t="n"/>
      <c r="B411" s="1" t="n"/>
      <c r="C411" s="1" t="n"/>
      <c r="D411" s="1" t="n"/>
      <c r="E411" s="1" t="n"/>
      <c r="F411" s="1" t="n"/>
      <c r="G411" s="1" t="n"/>
      <c r="H411" s="1" t="n"/>
      <c r="I411" s="2" t="n"/>
      <c r="J411" s="2" t="n"/>
      <c r="K411" s="2" t="n"/>
      <c r="L411" s="2" t="n"/>
      <c r="M411" s="2" t="n"/>
      <c r="N411" s="2" t="n"/>
      <c r="O411" s="1" t="n"/>
      <c r="P411" s="1" t="n"/>
      <c r="R411" s="20" t="n"/>
      <c r="S411" s="39" t="n"/>
    </row>
    <row r="412">
      <c r="A412" s="1" t="n"/>
      <c r="B412" s="1" t="n"/>
      <c r="C412" s="1" t="n"/>
      <c r="D412" s="1" t="n"/>
      <c r="E412" s="1" t="n"/>
      <c r="F412" s="1" t="n"/>
      <c r="G412" s="1" t="n"/>
      <c r="H412" s="1" t="n"/>
      <c r="I412" s="2" t="n"/>
      <c r="J412" s="2" t="n"/>
      <c r="K412" s="2" t="n"/>
      <c r="L412" s="2" t="n"/>
      <c r="M412" s="2" t="n"/>
      <c r="N412" s="2" t="n"/>
      <c r="O412" s="1" t="n"/>
      <c r="P412" s="1" t="n"/>
      <c r="R412" s="20" t="n"/>
      <c r="S412" s="39" t="n"/>
    </row>
    <row r="413">
      <c r="A413" s="1" t="n"/>
      <c r="B413" s="1" t="n"/>
      <c r="C413" s="1" t="n"/>
      <c r="D413" s="1" t="n"/>
      <c r="E413" s="1" t="n"/>
      <c r="F413" s="1" t="n"/>
      <c r="G413" s="1" t="n"/>
      <c r="H413" s="1" t="n"/>
      <c r="I413" s="2" t="n"/>
      <c r="J413" s="2" t="n"/>
      <c r="K413" s="2" t="n"/>
      <c r="L413" s="2" t="n"/>
      <c r="M413" s="2" t="n"/>
      <c r="N413" s="2" t="n"/>
      <c r="O413" s="1" t="n"/>
      <c r="P413" s="1" t="n"/>
      <c r="R413" s="20" t="n"/>
      <c r="S413" s="39" t="n"/>
    </row>
    <row r="414">
      <c r="A414" s="1" t="n"/>
      <c r="B414" s="1" t="n"/>
      <c r="C414" s="1" t="n"/>
      <c r="D414" s="1" t="n"/>
      <c r="E414" s="1" t="n"/>
      <c r="F414" s="1" t="n"/>
      <c r="G414" s="1" t="n"/>
      <c r="H414" s="1" t="n"/>
      <c r="I414" s="2" t="n"/>
      <c r="J414" s="2" t="n"/>
      <c r="K414" s="2" t="n"/>
      <c r="L414" s="2" t="n"/>
      <c r="M414" s="2" t="n"/>
      <c r="N414" s="2" t="n"/>
      <c r="O414" s="1" t="n"/>
      <c r="P414" s="1" t="n"/>
      <c r="R414" s="20" t="n"/>
      <c r="S414" s="39" t="n"/>
    </row>
    <row r="415">
      <c r="A415" s="1" t="n"/>
      <c r="B415" s="1" t="n"/>
      <c r="C415" s="1" t="n"/>
      <c r="D415" s="1" t="n"/>
      <c r="E415" s="1" t="n"/>
      <c r="F415" s="1" t="n"/>
      <c r="G415" s="1" t="n"/>
      <c r="H415" s="1" t="n"/>
      <c r="I415" s="2" t="n"/>
      <c r="J415" s="2" t="n"/>
      <c r="K415" s="2" t="n"/>
      <c r="L415" s="2" t="n"/>
      <c r="M415" s="2" t="n"/>
      <c r="N415" s="2" t="n"/>
      <c r="O415" s="1" t="n"/>
      <c r="P415" s="1" t="n"/>
      <c r="R415" s="20" t="n"/>
      <c r="S415" s="39" t="n"/>
    </row>
    <row r="416">
      <c r="A416" s="1" t="n"/>
      <c r="B416" s="1" t="n"/>
      <c r="C416" s="1" t="n"/>
      <c r="D416" s="1" t="n"/>
      <c r="E416" s="1" t="n"/>
      <c r="F416" s="1" t="n"/>
      <c r="G416" s="1" t="n"/>
      <c r="H416" s="1" t="n"/>
      <c r="I416" s="2" t="n"/>
      <c r="J416" s="2" t="n"/>
      <c r="K416" s="2" t="n"/>
      <c r="L416" s="2" t="n"/>
      <c r="M416" s="2" t="n"/>
      <c r="N416" s="2" t="n"/>
      <c r="O416" s="1" t="n"/>
      <c r="P416" s="1" t="n"/>
      <c r="R416" s="20" t="n"/>
      <c r="S416" s="39" t="n"/>
    </row>
    <row r="417">
      <c r="A417" s="1" t="n"/>
      <c r="B417" s="1" t="n"/>
      <c r="C417" s="1" t="n"/>
      <c r="D417" s="1" t="n"/>
      <c r="E417" s="1" t="n"/>
      <c r="F417" s="1" t="n"/>
      <c r="G417" s="1" t="n"/>
      <c r="H417" s="1" t="n"/>
      <c r="I417" s="2" t="n"/>
      <c r="J417" s="2" t="n"/>
      <c r="K417" s="2" t="n"/>
      <c r="L417" s="2" t="n"/>
      <c r="M417" s="2" t="n"/>
      <c r="N417" s="2" t="n"/>
      <c r="O417" s="1" t="n"/>
      <c r="P417" s="1" t="n"/>
      <c r="R417" s="20" t="n"/>
      <c r="S417" s="39" t="n"/>
    </row>
    <row r="418">
      <c r="A418" s="1" t="n"/>
      <c r="B418" s="1" t="n"/>
      <c r="C418" s="1" t="n"/>
      <c r="D418" s="1" t="n"/>
      <c r="E418" s="1" t="n"/>
      <c r="F418" s="1" t="n"/>
      <c r="G418" s="1" t="n"/>
      <c r="H418" s="1" t="n"/>
      <c r="I418" s="2" t="n"/>
      <c r="J418" s="2" t="n"/>
      <c r="K418" s="2" t="n"/>
      <c r="L418" s="2" t="n"/>
      <c r="M418" s="2" t="n"/>
      <c r="N418" s="2" t="n"/>
      <c r="O418" s="1" t="n"/>
      <c r="P418" s="1" t="n"/>
      <c r="R418" s="20" t="n"/>
      <c r="S418" s="39" t="n"/>
    </row>
    <row r="419">
      <c r="A419" s="1" t="n"/>
      <c r="B419" s="1" t="n"/>
      <c r="C419" s="1" t="n"/>
      <c r="D419" s="1" t="n"/>
      <c r="E419" s="1" t="n"/>
      <c r="F419" s="1" t="n"/>
      <c r="G419" s="1" t="n"/>
      <c r="H419" s="1" t="n"/>
      <c r="I419" s="2" t="n"/>
      <c r="J419" s="2" t="n"/>
      <c r="K419" s="2" t="n"/>
      <c r="L419" s="2" t="n"/>
      <c r="M419" s="2" t="n"/>
      <c r="N419" s="2" t="n"/>
      <c r="O419" s="1" t="n"/>
      <c r="P419" s="1" t="n"/>
      <c r="R419" s="20" t="n"/>
      <c r="S419" s="39" t="n"/>
    </row>
    <row r="420">
      <c r="A420" s="1" t="n"/>
      <c r="B420" s="1" t="n"/>
      <c r="C420" s="1" t="n"/>
      <c r="D420" s="1" t="n"/>
      <c r="E420" s="1" t="n"/>
      <c r="F420" s="1" t="n"/>
      <c r="G420" s="1" t="n"/>
      <c r="H420" s="1" t="n"/>
      <c r="I420" s="2" t="n"/>
      <c r="J420" s="2" t="n"/>
      <c r="K420" s="2" t="n"/>
      <c r="L420" s="2" t="n"/>
      <c r="M420" s="2" t="n"/>
      <c r="N420" s="2" t="n"/>
      <c r="O420" s="1" t="n"/>
      <c r="P420" s="1" t="n"/>
      <c r="R420" s="20" t="n"/>
      <c r="S420" s="39" t="n"/>
    </row>
    <row r="421">
      <c r="A421" s="1" t="n"/>
      <c r="B421" s="1" t="n"/>
      <c r="C421" s="1" t="n"/>
      <c r="D421" s="1" t="n"/>
      <c r="E421" s="1" t="n"/>
      <c r="F421" s="1" t="n"/>
      <c r="G421" s="1" t="n"/>
      <c r="H421" s="1" t="n"/>
      <c r="I421" s="2" t="n"/>
      <c r="J421" s="2" t="n"/>
      <c r="K421" s="2" t="n"/>
      <c r="L421" s="2" t="n"/>
      <c r="M421" s="2" t="n"/>
      <c r="N421" s="2" t="n"/>
      <c r="O421" s="1" t="n"/>
      <c r="P421" s="1" t="n"/>
      <c r="R421" s="20" t="n"/>
      <c r="S421" s="39" t="n"/>
    </row>
    <row r="422">
      <c r="A422" s="1" t="n"/>
      <c r="B422" s="1" t="n"/>
      <c r="C422" s="1" t="n"/>
      <c r="D422" s="1" t="n"/>
      <c r="E422" s="1" t="n"/>
      <c r="F422" s="1" t="n"/>
      <c r="G422" s="1" t="n"/>
      <c r="H422" s="1" t="n"/>
      <c r="I422" s="2" t="n"/>
      <c r="J422" s="2" t="n"/>
      <c r="K422" s="2" t="n"/>
      <c r="L422" s="2" t="n"/>
      <c r="M422" s="2" t="n"/>
      <c r="N422" s="2" t="n"/>
      <c r="O422" s="1" t="n"/>
      <c r="P422" s="1" t="n"/>
      <c r="R422" s="20" t="n"/>
      <c r="S422" s="39" t="n"/>
    </row>
    <row r="423">
      <c r="A423" s="1" t="n"/>
      <c r="B423" s="1" t="n"/>
      <c r="C423" s="1" t="n"/>
      <c r="D423" s="1" t="n"/>
      <c r="E423" s="1" t="n"/>
      <c r="F423" s="1" t="n"/>
      <c r="G423" s="1" t="n"/>
      <c r="H423" s="1" t="n"/>
      <c r="I423" s="2" t="n"/>
      <c r="J423" s="2" t="n"/>
      <c r="K423" s="2" t="n"/>
      <c r="L423" s="2" t="n"/>
      <c r="M423" s="2" t="n"/>
      <c r="N423" s="2" t="n"/>
      <c r="O423" s="1" t="n"/>
      <c r="P423" s="1" t="n"/>
      <c r="R423" s="20" t="n"/>
      <c r="S423" s="39" t="n"/>
    </row>
    <row r="424">
      <c r="A424" s="1" t="n"/>
      <c r="B424" s="1" t="n"/>
      <c r="C424" s="1" t="n"/>
      <c r="D424" s="1" t="n"/>
      <c r="E424" s="1" t="n"/>
      <c r="F424" s="1" t="n"/>
      <c r="G424" s="1" t="n"/>
      <c r="H424" s="1" t="n"/>
      <c r="I424" s="2" t="n"/>
      <c r="J424" s="2" t="n"/>
      <c r="K424" s="2" t="n"/>
      <c r="L424" s="2" t="n"/>
      <c r="M424" s="2" t="n"/>
      <c r="N424" s="2" t="n"/>
      <c r="O424" s="1" t="n"/>
      <c r="P424" s="1" t="n"/>
      <c r="R424" s="20" t="n"/>
      <c r="S424" s="39" t="n"/>
    </row>
    <row r="425">
      <c r="A425" s="1" t="n"/>
      <c r="B425" s="1" t="n"/>
      <c r="C425" s="1" t="n"/>
      <c r="D425" s="1" t="n"/>
      <c r="E425" s="1" t="n"/>
      <c r="F425" s="1" t="n"/>
      <c r="G425" s="1" t="n"/>
      <c r="H425" s="1" t="n"/>
      <c r="I425" s="2" t="n"/>
      <c r="J425" s="2" t="n"/>
      <c r="K425" s="2" t="n"/>
      <c r="L425" s="2" t="n"/>
      <c r="M425" s="2" t="n"/>
      <c r="N425" s="2" t="n"/>
      <c r="O425" s="1" t="n"/>
      <c r="P425" s="1" t="n"/>
      <c r="R425" s="20" t="n"/>
      <c r="S425" s="39" t="n"/>
    </row>
    <row r="426">
      <c r="A426" s="1" t="n"/>
      <c r="B426" s="1" t="n"/>
      <c r="C426" s="1" t="n"/>
      <c r="D426" s="1" t="n"/>
      <c r="E426" s="1" t="n"/>
      <c r="F426" s="1" t="n"/>
      <c r="G426" s="1" t="n"/>
      <c r="H426" s="1" t="n"/>
      <c r="I426" s="2" t="n"/>
      <c r="J426" s="2" t="n"/>
      <c r="K426" s="2" t="n"/>
      <c r="L426" s="2" t="n"/>
      <c r="M426" s="2" t="n"/>
      <c r="N426" s="2" t="n"/>
      <c r="O426" s="1" t="n"/>
      <c r="P426" s="1" t="n"/>
      <c r="R426" s="20" t="n"/>
      <c r="S426" s="39" t="n"/>
    </row>
    <row r="427">
      <c r="A427" s="1" t="n"/>
      <c r="B427" s="1" t="n"/>
      <c r="C427" s="1" t="n"/>
      <c r="D427" s="1" t="n"/>
      <c r="E427" s="1" t="n"/>
      <c r="F427" s="1" t="n"/>
      <c r="G427" s="1" t="n"/>
      <c r="H427" s="1" t="n"/>
      <c r="I427" s="2" t="n"/>
      <c r="J427" s="2" t="n"/>
      <c r="K427" s="2" t="n"/>
      <c r="L427" s="2" t="n"/>
      <c r="M427" s="2" t="n"/>
      <c r="N427" s="2" t="n"/>
      <c r="O427" s="1" t="n"/>
      <c r="P427" s="1" t="n"/>
      <c r="R427" s="20" t="n"/>
      <c r="S427" s="39" t="n"/>
    </row>
    <row r="428">
      <c r="A428" s="1" t="n"/>
      <c r="B428" s="1" t="n"/>
      <c r="C428" s="1" t="n"/>
      <c r="D428" s="1" t="n"/>
      <c r="E428" s="1" t="n"/>
      <c r="F428" s="1" t="n"/>
      <c r="G428" s="1" t="n"/>
      <c r="H428" s="1" t="n"/>
      <c r="I428" s="2" t="n"/>
      <c r="J428" s="2" t="n"/>
      <c r="K428" s="2" t="n"/>
      <c r="L428" s="2" t="n"/>
      <c r="M428" s="2" t="n"/>
      <c r="N428" s="2" t="n"/>
      <c r="O428" s="1" t="n"/>
      <c r="P428" s="1" t="n"/>
      <c r="R428" s="20" t="n"/>
      <c r="S428" s="39" t="n"/>
    </row>
    <row r="429">
      <c r="A429" s="1" t="n"/>
      <c r="B429" s="1" t="n"/>
      <c r="C429" s="1" t="n"/>
      <c r="D429" s="1" t="n"/>
      <c r="E429" s="1" t="n"/>
      <c r="F429" s="1" t="n"/>
      <c r="G429" s="1" t="n"/>
      <c r="H429" s="1" t="n"/>
      <c r="I429" s="2" t="n"/>
      <c r="J429" s="2" t="n"/>
      <c r="K429" s="2" t="n"/>
      <c r="L429" s="2" t="n"/>
      <c r="M429" s="2" t="n"/>
      <c r="N429" s="2" t="n"/>
      <c r="O429" s="1" t="n"/>
      <c r="P429" s="1" t="n"/>
      <c r="R429" s="20" t="n"/>
      <c r="S429" s="39" t="n"/>
    </row>
    <row r="430">
      <c r="A430" s="1" t="n"/>
      <c r="B430" s="1" t="n"/>
      <c r="C430" s="1" t="n"/>
      <c r="D430" s="1" t="n"/>
      <c r="E430" s="1" t="n"/>
      <c r="F430" s="1" t="n"/>
      <c r="G430" s="1" t="n"/>
      <c r="H430" s="1" t="n"/>
      <c r="I430" s="2" t="n"/>
      <c r="J430" s="2" t="n"/>
      <c r="K430" s="2" t="n"/>
      <c r="L430" s="2" t="n"/>
      <c r="M430" s="2" t="n"/>
      <c r="N430" s="2" t="n"/>
      <c r="O430" s="1" t="n"/>
      <c r="P430" s="1" t="n"/>
      <c r="R430" s="20" t="n"/>
      <c r="S430" s="39" t="n"/>
    </row>
    <row r="431">
      <c r="A431" s="1" t="n"/>
      <c r="B431" s="1" t="n"/>
      <c r="C431" s="1" t="n"/>
      <c r="D431" s="1" t="n"/>
      <c r="E431" s="1" t="n"/>
      <c r="F431" s="1" t="n"/>
      <c r="G431" s="1" t="n"/>
      <c r="H431" s="1" t="n"/>
      <c r="I431" s="2" t="n"/>
      <c r="J431" s="2" t="n"/>
      <c r="K431" s="2" t="n"/>
      <c r="L431" s="2" t="n"/>
      <c r="M431" s="2" t="n"/>
      <c r="N431" s="2" t="n"/>
      <c r="O431" s="1" t="n"/>
      <c r="P431" s="1" t="n"/>
      <c r="R431" s="20" t="n"/>
      <c r="S431" s="39" t="n"/>
    </row>
    <row r="432">
      <c r="A432" s="1" t="n"/>
      <c r="B432" s="1" t="n"/>
      <c r="C432" s="1" t="n"/>
      <c r="D432" s="1" t="n"/>
      <c r="E432" s="1" t="n"/>
      <c r="F432" s="1" t="n"/>
      <c r="G432" s="1" t="n"/>
      <c r="H432" s="1" t="n"/>
      <c r="I432" s="2" t="n"/>
      <c r="J432" s="2" t="n"/>
      <c r="K432" s="2" t="n"/>
      <c r="L432" s="2" t="n"/>
      <c r="M432" s="2" t="n"/>
      <c r="N432" s="2" t="n"/>
      <c r="O432" s="1" t="n"/>
      <c r="P432" s="1" t="n"/>
      <c r="R432" s="20" t="n"/>
      <c r="S432" s="39" t="n"/>
    </row>
    <row r="433">
      <c r="A433" s="1" t="n"/>
      <c r="B433" s="1" t="n"/>
      <c r="C433" s="1" t="n"/>
      <c r="D433" s="1" t="n"/>
      <c r="E433" s="1" t="n"/>
      <c r="F433" s="1" t="n"/>
      <c r="G433" s="1" t="n"/>
      <c r="H433" s="1" t="n"/>
      <c r="I433" s="2" t="n"/>
      <c r="J433" s="2" t="n"/>
      <c r="K433" s="2" t="n"/>
      <c r="L433" s="2" t="n"/>
      <c r="M433" s="2" t="n"/>
      <c r="N433" s="2" t="n"/>
      <c r="O433" s="1" t="n"/>
      <c r="P433" s="1" t="n"/>
      <c r="R433" s="20" t="n"/>
      <c r="S433" s="39" t="n"/>
    </row>
    <row r="434">
      <c r="A434" s="1" t="n"/>
      <c r="B434" s="1" t="n"/>
      <c r="C434" s="1" t="n"/>
      <c r="D434" s="1" t="n"/>
      <c r="E434" s="1" t="n"/>
      <c r="F434" s="1" t="n"/>
      <c r="G434" s="1" t="n"/>
      <c r="H434" s="1" t="n"/>
      <c r="I434" s="2" t="n"/>
      <c r="J434" s="2" t="n"/>
      <c r="K434" s="2" t="n"/>
      <c r="L434" s="2" t="n"/>
      <c r="M434" s="2" t="n"/>
      <c r="N434" s="2" t="n"/>
      <c r="O434" s="1" t="n"/>
      <c r="P434" s="1" t="n"/>
      <c r="R434" s="20" t="n"/>
      <c r="S434" s="39" t="n"/>
    </row>
    <row r="435">
      <c r="A435" s="1" t="n"/>
      <c r="B435" s="1" t="n"/>
      <c r="C435" s="1" t="n"/>
      <c r="D435" s="1" t="n"/>
      <c r="E435" s="1" t="n"/>
      <c r="F435" s="1" t="n"/>
      <c r="G435" s="1" t="n"/>
      <c r="H435" s="1" t="n"/>
      <c r="I435" s="2" t="n"/>
      <c r="J435" s="2" t="n"/>
      <c r="K435" s="2" t="n"/>
      <c r="L435" s="2" t="n"/>
      <c r="M435" s="2" t="n"/>
      <c r="N435" s="2" t="n"/>
      <c r="O435" s="1" t="n"/>
      <c r="P435" s="1" t="n"/>
      <c r="R435" s="20" t="n"/>
      <c r="S435" s="39" t="n"/>
    </row>
    <row r="436">
      <c r="A436" s="1" t="n"/>
      <c r="B436" s="1" t="n"/>
      <c r="C436" s="1" t="n"/>
      <c r="D436" s="1" t="n"/>
      <c r="E436" s="1" t="n"/>
      <c r="F436" s="1" t="n"/>
      <c r="G436" s="1" t="n"/>
      <c r="H436" s="1" t="n"/>
      <c r="I436" s="2" t="n"/>
      <c r="J436" s="2" t="n"/>
      <c r="K436" s="2" t="n"/>
      <c r="L436" s="2" t="n"/>
      <c r="M436" s="2" t="n"/>
      <c r="N436" s="2" t="n"/>
      <c r="O436" s="1" t="n"/>
      <c r="P436" s="1" t="n"/>
      <c r="R436" s="20" t="n"/>
      <c r="S436" s="39" t="n"/>
    </row>
    <row r="437">
      <c r="A437" s="1" t="n"/>
      <c r="B437" s="1" t="n"/>
      <c r="C437" s="1" t="n"/>
      <c r="D437" s="1" t="n"/>
      <c r="E437" s="1" t="n"/>
      <c r="F437" s="1" t="n"/>
      <c r="G437" s="1" t="n"/>
      <c r="H437" s="1" t="n"/>
      <c r="I437" s="2" t="n"/>
      <c r="J437" s="2" t="n"/>
      <c r="K437" s="2" t="n"/>
      <c r="L437" s="2" t="n"/>
      <c r="M437" s="2" t="n"/>
      <c r="N437" s="2" t="n"/>
      <c r="O437" s="1" t="n"/>
      <c r="P437" s="1" t="n"/>
      <c r="R437" s="20" t="n"/>
      <c r="S437" s="39" t="n"/>
    </row>
    <row r="438">
      <c r="A438" s="1" t="n"/>
      <c r="B438" s="1" t="n"/>
      <c r="C438" s="1" t="n"/>
      <c r="D438" s="1" t="n"/>
      <c r="E438" s="1" t="n"/>
      <c r="F438" s="1" t="n"/>
      <c r="G438" s="1" t="n"/>
      <c r="H438" s="1" t="n"/>
      <c r="I438" s="2" t="n"/>
      <c r="J438" s="2" t="n"/>
      <c r="K438" s="2" t="n"/>
      <c r="L438" s="2" t="n"/>
      <c r="M438" s="2" t="n"/>
      <c r="N438" s="2" t="n"/>
      <c r="O438" s="1" t="n"/>
      <c r="P438" s="1" t="n"/>
      <c r="R438" s="20" t="n"/>
      <c r="S438" s="39" t="n"/>
    </row>
    <row r="439">
      <c r="A439" s="1" t="n"/>
      <c r="B439" s="1" t="n"/>
      <c r="C439" s="1" t="n"/>
      <c r="D439" s="1" t="n"/>
      <c r="E439" s="1" t="n"/>
      <c r="F439" s="1" t="n"/>
      <c r="G439" s="1" t="n"/>
      <c r="H439" s="1" t="n"/>
      <c r="I439" s="2" t="n"/>
      <c r="J439" s="2" t="n"/>
      <c r="K439" s="2" t="n"/>
      <c r="L439" s="2" t="n"/>
      <c r="M439" s="2" t="n"/>
      <c r="N439" s="2" t="n"/>
      <c r="O439" s="1" t="n"/>
      <c r="P439" s="1" t="n"/>
      <c r="R439" s="20" t="n"/>
      <c r="S439" s="39" t="n"/>
    </row>
    <row r="440">
      <c r="A440" s="1" t="n"/>
      <c r="B440" s="1" t="n"/>
      <c r="C440" s="1" t="n"/>
      <c r="D440" s="1" t="n"/>
      <c r="E440" s="1" t="n"/>
      <c r="F440" s="1" t="n"/>
      <c r="G440" s="1" t="n"/>
      <c r="H440" s="1" t="n"/>
      <c r="I440" s="2" t="n"/>
      <c r="J440" s="2" t="n"/>
      <c r="K440" s="2" t="n"/>
      <c r="L440" s="2" t="n"/>
      <c r="M440" s="2" t="n"/>
      <c r="N440" s="2" t="n"/>
      <c r="O440" s="1" t="n"/>
      <c r="P440" s="1" t="n"/>
      <c r="R440" s="20" t="n"/>
      <c r="S440" s="39" t="n"/>
    </row>
    <row r="441">
      <c r="A441" s="1" t="n"/>
      <c r="B441" s="1" t="n"/>
      <c r="C441" s="1" t="n"/>
      <c r="D441" s="1" t="n"/>
      <c r="E441" s="1" t="n"/>
      <c r="F441" s="1" t="n"/>
      <c r="G441" s="1" t="n"/>
      <c r="H441" s="1" t="n"/>
      <c r="I441" s="2" t="n"/>
      <c r="J441" s="2" t="n"/>
      <c r="K441" s="2" t="n"/>
      <c r="L441" s="2" t="n"/>
      <c r="M441" s="2" t="n"/>
      <c r="N441" s="2" t="n"/>
      <c r="O441" s="1" t="n"/>
      <c r="P441" s="1" t="n"/>
      <c r="R441" s="20" t="n"/>
      <c r="S441" s="39" t="n"/>
    </row>
    <row r="442">
      <c r="A442" s="1" t="n"/>
      <c r="B442" s="1" t="n"/>
      <c r="C442" s="1" t="n"/>
      <c r="D442" s="1" t="n"/>
      <c r="E442" s="1" t="n"/>
      <c r="F442" s="1" t="n"/>
      <c r="G442" s="1" t="n"/>
      <c r="H442" s="1" t="n"/>
      <c r="I442" s="2" t="n"/>
      <c r="J442" s="2" t="n"/>
      <c r="K442" s="2" t="n"/>
      <c r="L442" s="2" t="n"/>
      <c r="M442" s="2" t="n"/>
      <c r="N442" s="2" t="n"/>
      <c r="O442" s="1" t="n"/>
      <c r="P442" s="1" t="n"/>
      <c r="R442" s="20" t="n"/>
      <c r="S442" s="39" t="n"/>
    </row>
    <row r="443">
      <c r="A443" s="1" t="n"/>
      <c r="B443" s="1" t="n"/>
      <c r="C443" s="1" t="n"/>
      <c r="D443" s="1" t="n"/>
      <c r="E443" s="1" t="n"/>
      <c r="F443" s="1" t="n"/>
      <c r="G443" s="1" t="n"/>
      <c r="H443" s="1" t="n"/>
      <c r="I443" s="2" t="n"/>
      <c r="J443" s="2" t="n"/>
      <c r="K443" s="2" t="n"/>
      <c r="L443" s="2" t="n"/>
      <c r="M443" s="2" t="n"/>
      <c r="N443" s="2" t="n"/>
      <c r="O443" s="1" t="n"/>
      <c r="P443" s="1" t="n"/>
      <c r="R443" s="20" t="n"/>
      <c r="S443" s="39" t="n"/>
    </row>
    <row r="444">
      <c r="A444" s="1" t="n"/>
      <c r="B444" s="1" t="n"/>
      <c r="C444" s="1" t="n"/>
      <c r="D444" s="1" t="n"/>
      <c r="E444" s="1" t="n"/>
      <c r="F444" s="1" t="n"/>
      <c r="G444" s="1" t="n"/>
      <c r="H444" s="1" t="n"/>
      <c r="I444" s="2" t="n"/>
      <c r="J444" s="2" t="n"/>
      <c r="K444" s="2" t="n"/>
      <c r="L444" s="2" t="n"/>
      <c r="M444" s="2" t="n"/>
      <c r="N444" s="2" t="n"/>
      <c r="O444" s="1" t="n"/>
      <c r="P444" s="1" t="n"/>
      <c r="R444" s="20" t="n"/>
      <c r="S444" s="39" t="n"/>
    </row>
    <row r="445">
      <c r="A445" s="1" t="n"/>
      <c r="B445" s="1" t="n"/>
      <c r="C445" s="1" t="n"/>
      <c r="D445" s="1" t="n"/>
      <c r="E445" s="1" t="n"/>
      <c r="F445" s="1" t="n"/>
      <c r="G445" s="1" t="n"/>
      <c r="H445" s="1" t="n"/>
      <c r="I445" s="2" t="n"/>
      <c r="J445" s="2" t="n"/>
      <c r="K445" s="2" t="n"/>
      <c r="L445" s="2" t="n"/>
      <c r="M445" s="2" t="n"/>
      <c r="N445" s="2" t="n"/>
      <c r="O445" s="1" t="n"/>
      <c r="P445" s="1" t="n"/>
      <c r="R445" s="20" t="n"/>
      <c r="S445" s="39" t="n"/>
    </row>
    <row r="446">
      <c r="A446" s="1" t="n"/>
      <c r="B446" s="1" t="n"/>
      <c r="C446" s="1" t="n"/>
      <c r="D446" s="1" t="n"/>
      <c r="E446" s="1" t="n"/>
      <c r="F446" s="1" t="n"/>
      <c r="G446" s="1" t="n"/>
      <c r="H446" s="1" t="n"/>
      <c r="I446" s="2" t="n"/>
      <c r="J446" s="2" t="n"/>
      <c r="K446" s="2" t="n"/>
      <c r="L446" s="2" t="n"/>
      <c r="M446" s="2" t="n"/>
      <c r="N446" s="2" t="n"/>
      <c r="O446" s="1" t="n"/>
      <c r="P446" s="1" t="n"/>
      <c r="R446" s="20" t="n"/>
      <c r="S446" s="39" t="n"/>
    </row>
    <row r="447">
      <c r="A447" s="1" t="n"/>
      <c r="B447" s="1" t="n"/>
      <c r="C447" s="1" t="n"/>
      <c r="D447" s="1" t="n"/>
      <c r="E447" s="1" t="n"/>
      <c r="F447" s="1" t="n"/>
      <c r="G447" s="1" t="n"/>
      <c r="H447" s="1" t="n"/>
      <c r="I447" s="2" t="n"/>
      <c r="J447" s="2" t="n"/>
      <c r="K447" s="2" t="n"/>
      <c r="L447" s="2" t="n"/>
      <c r="M447" s="2" t="n"/>
      <c r="N447" s="2" t="n"/>
      <c r="O447" s="1" t="n"/>
      <c r="P447" s="1" t="n"/>
      <c r="R447" s="20" t="n"/>
      <c r="S447" s="39" t="n"/>
    </row>
    <row r="448">
      <c r="A448" s="1" t="n"/>
      <c r="B448" s="1" t="n"/>
      <c r="C448" s="1" t="n"/>
      <c r="D448" s="1" t="n"/>
      <c r="E448" s="1" t="n"/>
      <c r="F448" s="1" t="n"/>
      <c r="G448" s="1" t="n"/>
      <c r="H448" s="1" t="n"/>
      <c r="I448" s="2" t="n"/>
      <c r="J448" s="2" t="n"/>
      <c r="K448" s="2" t="n"/>
      <c r="L448" s="2" t="n"/>
      <c r="M448" s="2" t="n"/>
      <c r="N448" s="2" t="n"/>
      <c r="O448" s="1" t="n"/>
      <c r="P448" s="1" t="n"/>
      <c r="R448" s="20" t="n"/>
      <c r="S448" s="39" t="n"/>
    </row>
    <row r="449">
      <c r="A449" s="1" t="n"/>
      <c r="B449" s="1" t="n"/>
      <c r="C449" s="1" t="n"/>
      <c r="D449" s="1" t="n"/>
      <c r="E449" s="1" t="n"/>
      <c r="F449" s="1" t="n"/>
      <c r="G449" s="1" t="n"/>
      <c r="H449" s="1" t="n"/>
      <c r="I449" s="2" t="n"/>
      <c r="J449" s="2" t="n"/>
      <c r="K449" s="2" t="n"/>
      <c r="L449" s="2" t="n"/>
      <c r="M449" s="2" t="n"/>
      <c r="N449" s="2" t="n"/>
      <c r="O449" s="1" t="n"/>
      <c r="P449" s="1" t="n"/>
      <c r="R449" s="20" t="n"/>
      <c r="S449" s="39" t="n"/>
    </row>
    <row r="450">
      <c r="A450" s="1" t="n"/>
      <c r="B450" s="1" t="n"/>
      <c r="C450" s="1" t="n"/>
      <c r="D450" s="1" t="n"/>
      <c r="E450" s="1" t="n"/>
      <c r="F450" s="1" t="n"/>
      <c r="G450" s="1" t="n"/>
      <c r="H450" s="1" t="n"/>
      <c r="I450" s="2" t="n"/>
      <c r="J450" s="2" t="n"/>
      <c r="K450" s="2" t="n"/>
      <c r="L450" s="2" t="n"/>
      <c r="M450" s="2" t="n"/>
      <c r="N450" s="2" t="n"/>
      <c r="O450" s="1" t="n"/>
      <c r="P450" s="1" t="n"/>
      <c r="R450" s="20" t="n"/>
      <c r="S450" s="39" t="n"/>
    </row>
    <row r="451">
      <c r="A451" s="1" t="n"/>
      <c r="B451" s="1" t="n"/>
      <c r="C451" s="1" t="n"/>
      <c r="D451" s="1" t="n"/>
      <c r="E451" s="1" t="n"/>
      <c r="F451" s="1" t="n"/>
      <c r="G451" s="1" t="n"/>
      <c r="H451" s="1" t="n"/>
      <c r="I451" s="2" t="n"/>
      <c r="J451" s="2" t="n"/>
      <c r="K451" s="2" t="n"/>
      <c r="L451" s="2" t="n"/>
      <c r="M451" s="2" t="n"/>
      <c r="N451" s="2" t="n"/>
      <c r="O451" s="1" t="n"/>
      <c r="P451" s="1" t="n"/>
      <c r="R451" s="20" t="n"/>
      <c r="S451" s="39" t="n"/>
    </row>
    <row r="452">
      <c r="A452" s="1" t="n"/>
      <c r="B452" s="1" t="n"/>
      <c r="C452" s="1" t="n"/>
      <c r="D452" s="1" t="n"/>
      <c r="E452" s="1" t="n"/>
      <c r="F452" s="1" t="n"/>
      <c r="G452" s="1" t="n"/>
      <c r="H452" s="1" t="n"/>
      <c r="I452" s="2" t="n"/>
      <c r="J452" s="2" t="n"/>
      <c r="K452" s="2" t="n"/>
      <c r="L452" s="2" t="n"/>
      <c r="M452" s="2" t="n"/>
      <c r="N452" s="2" t="n"/>
      <c r="O452" s="1" t="n"/>
      <c r="P452" s="1" t="n"/>
      <c r="R452" s="20" t="n"/>
      <c r="S452" s="39" t="n"/>
    </row>
    <row r="453">
      <c r="A453" s="1" t="n"/>
      <c r="B453" s="1" t="n"/>
      <c r="C453" s="1" t="n"/>
      <c r="D453" s="1" t="n"/>
      <c r="E453" s="1" t="n"/>
      <c r="F453" s="1" t="n"/>
      <c r="G453" s="1" t="n"/>
      <c r="H453" s="1" t="n"/>
      <c r="I453" s="2" t="n"/>
      <c r="J453" s="2" t="n"/>
      <c r="K453" s="2" t="n"/>
      <c r="L453" s="2" t="n"/>
      <c r="M453" s="2" t="n"/>
      <c r="N453" s="2" t="n"/>
      <c r="O453" s="1" t="n"/>
      <c r="P453" s="1" t="n"/>
      <c r="R453" s="20" t="n"/>
      <c r="S453" s="39" t="n"/>
    </row>
    <row r="454">
      <c r="A454" s="1" t="n"/>
      <c r="B454" s="1" t="n"/>
      <c r="C454" s="1" t="n"/>
      <c r="D454" s="1" t="n"/>
      <c r="E454" s="1" t="n"/>
      <c r="F454" s="1" t="n"/>
      <c r="G454" s="1" t="n"/>
      <c r="H454" s="1" t="n"/>
      <c r="I454" s="2" t="n"/>
      <c r="J454" s="2" t="n"/>
      <c r="K454" s="2" t="n"/>
      <c r="L454" s="2" t="n"/>
      <c r="M454" s="2" t="n"/>
      <c r="N454" s="2" t="n"/>
      <c r="O454" s="1" t="n"/>
      <c r="P454" s="1" t="n"/>
      <c r="R454" s="20" t="n"/>
      <c r="S454" s="39" t="n"/>
    </row>
    <row r="455">
      <c r="A455" s="1" t="n"/>
      <c r="B455" s="1" t="n"/>
      <c r="C455" s="1" t="n"/>
      <c r="D455" s="1" t="n"/>
      <c r="E455" s="1" t="n"/>
      <c r="F455" s="1" t="n"/>
      <c r="G455" s="1" t="n"/>
      <c r="H455" s="1" t="n"/>
      <c r="I455" s="2" t="n"/>
      <c r="J455" s="2" t="n"/>
      <c r="K455" s="2" t="n"/>
      <c r="L455" s="2" t="n"/>
      <c r="M455" s="2" t="n"/>
      <c r="N455" s="2" t="n"/>
      <c r="O455" s="1" t="n"/>
      <c r="P455" s="1" t="n"/>
      <c r="R455" s="20" t="n"/>
      <c r="S455" s="39" t="n"/>
    </row>
    <row r="456">
      <c r="A456" s="1" t="n"/>
      <c r="B456" s="1" t="n"/>
      <c r="C456" s="1" t="n"/>
      <c r="D456" s="1" t="n"/>
      <c r="E456" s="1" t="n"/>
      <c r="F456" s="1" t="n"/>
      <c r="G456" s="1" t="n"/>
      <c r="H456" s="1" t="n"/>
      <c r="I456" s="2" t="n"/>
      <c r="J456" s="2" t="n"/>
      <c r="K456" s="2" t="n"/>
      <c r="L456" s="2" t="n"/>
      <c r="M456" s="2" t="n"/>
      <c r="N456" s="2" t="n"/>
      <c r="O456" s="1" t="n"/>
      <c r="P456" s="1" t="n"/>
      <c r="R456" s="20" t="n"/>
      <c r="S456" s="39" t="n"/>
    </row>
    <row r="457">
      <c r="A457" s="1" t="n"/>
      <c r="B457" s="1" t="n"/>
      <c r="C457" s="1" t="n"/>
      <c r="D457" s="1" t="n"/>
      <c r="E457" s="1" t="n"/>
      <c r="F457" s="1" t="n"/>
      <c r="G457" s="1" t="n"/>
      <c r="H457" s="1" t="n"/>
      <c r="I457" s="2" t="n"/>
      <c r="J457" s="2" t="n"/>
      <c r="K457" s="2" t="n"/>
      <c r="L457" s="2" t="n"/>
      <c r="M457" s="2" t="n"/>
      <c r="N457" s="2" t="n"/>
      <c r="O457" s="1" t="n"/>
      <c r="P457" s="1" t="n"/>
      <c r="R457" s="20" t="n"/>
      <c r="S457" s="39" t="n"/>
    </row>
    <row r="458">
      <c r="A458" s="1" t="n"/>
      <c r="B458" s="1" t="n"/>
      <c r="C458" s="1" t="n"/>
      <c r="D458" s="1" t="n"/>
      <c r="E458" s="1" t="n"/>
      <c r="F458" s="1" t="n"/>
      <c r="G458" s="1" t="n"/>
      <c r="H458" s="1" t="n"/>
      <c r="I458" s="2" t="n"/>
      <c r="J458" s="2" t="n"/>
      <c r="K458" s="2" t="n"/>
      <c r="L458" s="2" t="n"/>
      <c r="M458" s="2" t="n"/>
      <c r="N458" s="2" t="n"/>
      <c r="O458" s="1" t="n"/>
      <c r="P458" s="1" t="n"/>
      <c r="R458" s="20" t="n"/>
      <c r="S458" s="39" t="n"/>
    </row>
    <row r="459">
      <c r="A459" s="1" t="n"/>
      <c r="B459" s="1" t="n"/>
      <c r="C459" s="1" t="n"/>
      <c r="D459" s="1" t="n"/>
      <c r="E459" s="1" t="n"/>
      <c r="F459" s="1" t="n"/>
      <c r="G459" s="1" t="n"/>
      <c r="H459" s="1" t="n"/>
      <c r="I459" s="2" t="n"/>
      <c r="J459" s="2" t="n"/>
      <c r="K459" s="2" t="n"/>
      <c r="L459" s="2" t="n"/>
      <c r="M459" s="2" t="n"/>
      <c r="N459" s="2" t="n"/>
      <c r="O459" s="1" t="n"/>
      <c r="P459" s="1" t="n"/>
      <c r="R459" s="20" t="n"/>
      <c r="S459" s="39" t="n"/>
    </row>
    <row r="460">
      <c r="A460" s="1" t="n"/>
      <c r="B460" s="1" t="n"/>
      <c r="C460" s="1" t="n"/>
      <c r="D460" s="1" t="n"/>
      <c r="E460" s="1" t="n"/>
      <c r="F460" s="1" t="n"/>
      <c r="G460" s="1" t="n"/>
      <c r="H460" s="1" t="n"/>
      <c r="I460" s="2" t="n"/>
      <c r="J460" s="2" t="n"/>
      <c r="K460" s="2" t="n"/>
      <c r="L460" s="2" t="n"/>
      <c r="M460" s="2" t="n"/>
      <c r="N460" s="2" t="n"/>
      <c r="O460" s="1" t="n"/>
      <c r="P460" s="1" t="n"/>
      <c r="R460" s="20" t="n"/>
      <c r="S460" s="39" t="n"/>
    </row>
    <row r="461">
      <c r="A461" s="1" t="n"/>
      <c r="B461" s="1" t="n"/>
      <c r="C461" s="1" t="n"/>
      <c r="D461" s="1" t="n"/>
      <c r="E461" s="1" t="n"/>
      <c r="F461" s="1" t="n"/>
      <c r="G461" s="1" t="n"/>
      <c r="H461" s="1" t="n"/>
      <c r="I461" s="2" t="n"/>
      <c r="J461" s="2" t="n"/>
      <c r="K461" s="2" t="n"/>
      <c r="L461" s="2" t="n"/>
      <c r="M461" s="2" t="n"/>
      <c r="N461" s="2" t="n"/>
      <c r="O461" s="1" t="n"/>
      <c r="P461" s="1" t="n"/>
      <c r="R461" s="20" t="n"/>
      <c r="S461" s="39" t="n"/>
    </row>
    <row r="462">
      <c r="A462" s="1" t="n"/>
      <c r="B462" s="1" t="n"/>
      <c r="C462" s="1" t="n"/>
      <c r="D462" s="1" t="n"/>
      <c r="E462" s="1" t="n"/>
      <c r="F462" s="1" t="n"/>
      <c r="G462" s="1" t="n"/>
      <c r="H462" s="1" t="n"/>
      <c r="I462" s="2" t="n"/>
      <c r="J462" s="2" t="n"/>
      <c r="K462" s="2" t="n"/>
      <c r="L462" s="2" t="n"/>
      <c r="M462" s="2" t="n"/>
      <c r="N462" s="2" t="n"/>
      <c r="O462" s="1" t="n"/>
      <c r="P462" s="1" t="n"/>
      <c r="R462" s="20" t="n"/>
      <c r="S462" s="39" t="n"/>
    </row>
    <row r="463">
      <c r="A463" s="1" t="n"/>
      <c r="B463" s="1" t="n"/>
      <c r="C463" s="1" t="n"/>
      <c r="D463" s="1" t="n"/>
      <c r="E463" s="1" t="n"/>
      <c r="F463" s="1" t="n"/>
      <c r="G463" s="1" t="n"/>
      <c r="H463" s="1" t="n"/>
      <c r="I463" s="2" t="n"/>
      <c r="J463" s="2" t="n"/>
      <c r="K463" s="2" t="n"/>
      <c r="L463" s="2" t="n"/>
      <c r="M463" s="2" t="n"/>
      <c r="N463" s="2" t="n"/>
      <c r="O463" s="1" t="n"/>
      <c r="P463" s="1" t="n"/>
      <c r="R463" s="20" t="n"/>
      <c r="S463" s="39" t="n"/>
    </row>
    <row r="464">
      <c r="A464" s="1" t="n"/>
      <c r="B464" s="1" t="n"/>
      <c r="C464" s="1" t="n"/>
      <c r="D464" s="1" t="n"/>
      <c r="E464" s="1" t="n"/>
      <c r="F464" s="1" t="n"/>
      <c r="G464" s="1" t="n"/>
      <c r="H464" s="1" t="n"/>
      <c r="I464" s="2" t="n"/>
      <c r="J464" s="2" t="n"/>
      <c r="K464" s="2" t="n"/>
      <c r="L464" s="2" t="n"/>
      <c r="M464" s="2" t="n"/>
      <c r="N464" s="2" t="n"/>
      <c r="O464" s="1" t="n"/>
      <c r="P464" s="1" t="n"/>
      <c r="R464" s="20" t="n"/>
      <c r="S464" s="39" t="n"/>
    </row>
    <row r="465">
      <c r="A465" s="1" t="n"/>
      <c r="B465" s="1" t="n"/>
      <c r="C465" s="1" t="n"/>
      <c r="D465" s="1" t="n"/>
      <c r="E465" s="1" t="n"/>
      <c r="F465" s="1" t="n"/>
      <c r="G465" s="1" t="n"/>
      <c r="H465" s="1" t="n"/>
      <c r="I465" s="2" t="n"/>
      <c r="J465" s="2" t="n"/>
      <c r="K465" s="2" t="n"/>
      <c r="L465" s="2" t="n"/>
      <c r="M465" s="2" t="n"/>
      <c r="N465" s="2" t="n"/>
      <c r="O465" s="1" t="n"/>
      <c r="P465" s="1" t="n"/>
      <c r="R465" s="20" t="n"/>
      <c r="S465" s="39" t="n"/>
    </row>
    <row r="466">
      <c r="A466" s="1" t="n"/>
      <c r="B466" s="1" t="n"/>
      <c r="C466" s="1" t="n"/>
      <c r="D466" s="1" t="n"/>
      <c r="E466" s="1" t="n"/>
      <c r="F466" s="1" t="n"/>
      <c r="G466" s="1" t="n"/>
      <c r="H466" s="1" t="n"/>
      <c r="I466" s="2" t="n"/>
      <c r="J466" s="2" t="n"/>
      <c r="K466" s="2" t="n"/>
      <c r="L466" s="2" t="n"/>
      <c r="M466" s="2" t="n"/>
      <c r="N466" s="2" t="n"/>
      <c r="O466" s="1" t="n"/>
      <c r="P466" s="1" t="n"/>
      <c r="R466" s="20" t="n"/>
      <c r="S466" s="39" t="n"/>
    </row>
    <row r="467">
      <c r="A467" s="1" t="n"/>
      <c r="B467" s="1" t="n"/>
      <c r="C467" s="1" t="n"/>
      <c r="D467" s="1" t="n"/>
      <c r="E467" s="1" t="n"/>
      <c r="F467" s="1" t="n"/>
      <c r="G467" s="1" t="n"/>
      <c r="H467" s="1" t="n"/>
      <c r="I467" s="2" t="n"/>
      <c r="J467" s="2" t="n"/>
      <c r="K467" s="2" t="n"/>
      <c r="L467" s="2" t="n"/>
      <c r="M467" s="2" t="n"/>
      <c r="N467" s="2" t="n"/>
      <c r="O467" s="1" t="n"/>
      <c r="P467" s="1" t="n"/>
      <c r="R467" s="20" t="n"/>
      <c r="S467" s="39" t="n"/>
    </row>
    <row r="468">
      <c r="A468" s="1" t="n"/>
      <c r="B468" s="1" t="n"/>
      <c r="C468" s="1" t="n"/>
      <c r="D468" s="1" t="n"/>
      <c r="E468" s="1" t="n"/>
      <c r="F468" s="1" t="n"/>
      <c r="G468" s="1" t="n"/>
      <c r="H468" s="1" t="n"/>
      <c r="I468" s="2" t="n"/>
      <c r="J468" s="2" t="n"/>
      <c r="K468" s="2" t="n"/>
      <c r="L468" s="2" t="n"/>
      <c r="M468" s="2" t="n"/>
      <c r="N468" s="2" t="n"/>
      <c r="O468" s="1" t="n"/>
      <c r="P468" s="1" t="n"/>
      <c r="R468" s="20" t="n"/>
      <c r="S468" s="39" t="n"/>
    </row>
    <row r="469">
      <c r="A469" s="1" t="n"/>
      <c r="B469" s="1" t="n"/>
      <c r="C469" s="1" t="n"/>
      <c r="D469" s="1" t="n"/>
      <c r="E469" s="1" t="n"/>
      <c r="F469" s="1" t="n"/>
      <c r="G469" s="1" t="n"/>
      <c r="H469" s="1" t="n"/>
      <c r="I469" s="2" t="n"/>
      <c r="J469" s="2" t="n"/>
      <c r="K469" s="2" t="n"/>
      <c r="L469" s="2" t="n"/>
      <c r="M469" s="2" t="n"/>
      <c r="N469" s="2" t="n"/>
      <c r="O469" s="1" t="n"/>
      <c r="P469" s="1" t="n"/>
      <c r="R469" s="20" t="n"/>
      <c r="S469" s="39" t="n"/>
    </row>
    <row r="470">
      <c r="A470" s="1" t="n"/>
      <c r="B470" s="1" t="n"/>
      <c r="C470" s="1" t="n"/>
      <c r="D470" s="1" t="n"/>
      <c r="E470" s="1" t="n"/>
      <c r="F470" s="1" t="n"/>
      <c r="G470" s="1" t="n"/>
      <c r="H470" s="1" t="n"/>
      <c r="I470" s="2" t="n"/>
      <c r="J470" s="2" t="n"/>
      <c r="K470" s="2" t="n"/>
      <c r="L470" s="2" t="n"/>
      <c r="M470" s="2" t="n"/>
      <c r="N470" s="2" t="n"/>
      <c r="O470" s="1" t="n"/>
      <c r="P470" s="1" t="n"/>
      <c r="R470" s="20" t="n"/>
      <c r="S470" s="39" t="n"/>
    </row>
    <row r="471">
      <c r="A471" s="1" t="n"/>
      <c r="B471" s="1" t="n"/>
      <c r="C471" s="1" t="n"/>
      <c r="D471" s="1" t="n"/>
      <c r="E471" s="1" t="n"/>
      <c r="F471" s="1" t="n"/>
      <c r="G471" s="1" t="n"/>
      <c r="H471" s="1" t="n"/>
      <c r="I471" s="2" t="n"/>
      <c r="J471" s="2" t="n"/>
      <c r="K471" s="2" t="n"/>
      <c r="L471" s="2" t="n"/>
      <c r="M471" s="2" t="n"/>
      <c r="N471" s="2" t="n"/>
      <c r="O471" s="1" t="n"/>
      <c r="P471" s="1" t="n"/>
      <c r="R471" s="20" t="n"/>
      <c r="S471" s="39" t="n"/>
    </row>
    <row r="472">
      <c r="A472" s="1" t="n"/>
      <c r="B472" s="1" t="n"/>
      <c r="C472" s="1" t="n"/>
      <c r="D472" s="1" t="n"/>
      <c r="E472" s="1" t="n"/>
      <c r="F472" s="1" t="n"/>
      <c r="G472" s="1" t="n"/>
      <c r="H472" s="1" t="n"/>
      <c r="I472" s="2" t="n"/>
      <c r="J472" s="2" t="n"/>
      <c r="K472" s="2" t="n"/>
      <c r="L472" s="2" t="n"/>
      <c r="M472" s="2" t="n"/>
      <c r="N472" s="2" t="n"/>
      <c r="O472" s="1" t="n"/>
      <c r="P472" s="1" t="n"/>
      <c r="R472" s="20" t="n"/>
      <c r="S472" s="39" t="n"/>
    </row>
    <row r="473">
      <c r="A473" s="1" t="n"/>
      <c r="B473" s="1" t="n"/>
      <c r="C473" s="1" t="n"/>
      <c r="D473" s="1" t="n"/>
      <c r="E473" s="1" t="n"/>
      <c r="F473" s="1" t="n"/>
      <c r="G473" s="1" t="n"/>
      <c r="H473" s="1" t="n"/>
      <c r="I473" s="2" t="n"/>
      <c r="J473" s="2" t="n"/>
      <c r="K473" s="2" t="n"/>
      <c r="L473" s="2" t="n"/>
      <c r="M473" s="2" t="n"/>
      <c r="N473" s="2" t="n"/>
      <c r="O473" s="1" t="n"/>
      <c r="P473" s="1" t="n"/>
      <c r="R473" s="20" t="n"/>
      <c r="S473" s="39" t="n"/>
    </row>
    <row r="474">
      <c r="A474" s="1" t="n"/>
      <c r="B474" s="1" t="n"/>
      <c r="C474" s="1" t="n"/>
      <c r="D474" s="1" t="n"/>
      <c r="E474" s="1" t="n"/>
      <c r="F474" s="1" t="n"/>
      <c r="G474" s="1" t="n"/>
      <c r="H474" s="1" t="n"/>
      <c r="I474" s="2" t="n"/>
      <c r="J474" s="2" t="n"/>
      <c r="K474" s="2" t="n"/>
      <c r="L474" s="2" t="n"/>
      <c r="M474" s="2" t="n"/>
      <c r="N474" s="2" t="n"/>
      <c r="O474" s="1" t="n"/>
      <c r="P474" s="1" t="n"/>
      <c r="R474" s="20" t="n"/>
      <c r="S474" s="39" t="n"/>
    </row>
    <row r="475">
      <c r="A475" s="1" t="n"/>
      <c r="B475" s="1" t="n"/>
      <c r="C475" s="1" t="n"/>
      <c r="D475" s="1" t="n"/>
      <c r="E475" s="1" t="n"/>
      <c r="F475" s="1" t="n"/>
      <c r="G475" s="1" t="n"/>
      <c r="H475" s="1" t="n"/>
      <c r="I475" s="2" t="n"/>
      <c r="J475" s="2" t="n"/>
      <c r="K475" s="2" t="n"/>
      <c r="L475" s="2" t="n"/>
      <c r="M475" s="2" t="n"/>
      <c r="N475" s="2" t="n"/>
      <c r="O475" s="1" t="n"/>
      <c r="P475" s="1" t="n"/>
      <c r="R475" s="20" t="n"/>
      <c r="S475" s="39" t="n"/>
    </row>
    <row r="476">
      <c r="A476" s="1" t="n"/>
      <c r="B476" s="1" t="n"/>
      <c r="C476" s="1" t="n"/>
      <c r="D476" s="1" t="n"/>
      <c r="E476" s="1" t="n"/>
      <c r="F476" s="1" t="n"/>
      <c r="G476" s="1" t="n"/>
      <c r="H476" s="1" t="n"/>
      <c r="I476" s="2" t="n"/>
      <c r="J476" s="2" t="n"/>
      <c r="K476" s="2" t="n"/>
      <c r="L476" s="2" t="n"/>
      <c r="M476" s="2" t="n"/>
      <c r="N476" s="2" t="n"/>
      <c r="O476" s="1" t="n"/>
      <c r="P476" s="1" t="n"/>
      <c r="R476" s="20" t="n"/>
      <c r="S476" s="39" t="n"/>
    </row>
    <row r="477">
      <c r="A477" s="1" t="n"/>
      <c r="B477" s="1" t="n"/>
      <c r="C477" s="1" t="n"/>
      <c r="D477" s="1" t="n"/>
      <c r="E477" s="1" t="n"/>
      <c r="F477" s="1" t="n"/>
      <c r="G477" s="1" t="n"/>
      <c r="H477" s="1" t="n"/>
      <c r="I477" s="2" t="n"/>
      <c r="J477" s="2" t="n"/>
      <c r="K477" s="2" t="n"/>
      <c r="L477" s="2" t="n"/>
      <c r="M477" s="2" t="n"/>
      <c r="N477" s="2" t="n"/>
      <c r="O477" s="1" t="n"/>
      <c r="P477" s="1" t="n"/>
      <c r="R477" s="20" t="n"/>
      <c r="S477" s="39" t="n"/>
    </row>
    <row r="478">
      <c r="A478" s="1" t="n"/>
      <c r="B478" s="1" t="n"/>
      <c r="C478" s="1" t="n"/>
      <c r="D478" s="1" t="n"/>
      <c r="E478" s="1" t="n"/>
      <c r="F478" s="1" t="n"/>
      <c r="G478" s="1" t="n"/>
      <c r="H478" s="1" t="n"/>
      <c r="I478" s="2" t="n"/>
      <c r="J478" s="2" t="n"/>
      <c r="K478" s="2" t="n"/>
      <c r="L478" s="2" t="n"/>
      <c r="M478" s="2" t="n"/>
      <c r="N478" s="2" t="n"/>
      <c r="O478" s="1" t="n"/>
      <c r="P478" s="1" t="n"/>
      <c r="R478" s="20" t="n"/>
      <c r="S478" s="39" t="n"/>
    </row>
    <row r="479">
      <c r="A479" s="1" t="n"/>
      <c r="B479" s="1" t="n"/>
      <c r="C479" s="1" t="n"/>
      <c r="D479" s="1" t="n"/>
      <c r="E479" s="1" t="n"/>
      <c r="F479" s="1" t="n"/>
      <c r="G479" s="1" t="n"/>
      <c r="H479" s="1" t="n"/>
      <c r="I479" s="2" t="n"/>
      <c r="J479" s="2" t="n"/>
      <c r="K479" s="2" t="n"/>
      <c r="L479" s="2" t="n"/>
      <c r="M479" s="2" t="n"/>
      <c r="N479" s="2" t="n"/>
      <c r="O479" s="1" t="n"/>
      <c r="P479" s="1" t="n"/>
      <c r="R479" s="20" t="n"/>
      <c r="S479" s="39" t="n"/>
    </row>
    <row r="480">
      <c r="A480" s="1" t="n"/>
      <c r="B480" s="1" t="n"/>
      <c r="C480" s="1" t="n"/>
      <c r="D480" s="1" t="n"/>
      <c r="E480" s="1" t="n"/>
      <c r="F480" s="1" t="n"/>
      <c r="G480" s="1" t="n"/>
      <c r="H480" s="1" t="n"/>
      <c r="I480" s="2" t="n"/>
      <c r="J480" s="2" t="n"/>
      <c r="K480" s="2" t="n"/>
      <c r="L480" s="2" t="n"/>
      <c r="M480" s="2" t="n"/>
      <c r="N480" s="2" t="n"/>
      <c r="O480" s="1" t="n"/>
      <c r="P480" s="1" t="n"/>
      <c r="R480" s="20" t="n"/>
      <c r="S480" s="39" t="n"/>
    </row>
    <row r="481">
      <c r="A481" s="1" t="n"/>
      <c r="B481" s="1" t="n"/>
      <c r="C481" s="1" t="n"/>
      <c r="D481" s="1" t="n"/>
      <c r="E481" s="1" t="n"/>
      <c r="F481" s="1" t="n"/>
      <c r="G481" s="1" t="n"/>
      <c r="H481" s="1" t="n"/>
      <c r="I481" s="2" t="n"/>
      <c r="J481" s="2" t="n"/>
      <c r="K481" s="2" t="n"/>
      <c r="L481" s="2" t="n"/>
      <c r="M481" s="2" t="n"/>
      <c r="N481" s="2" t="n"/>
      <c r="O481" s="1" t="n"/>
      <c r="P481" s="1" t="n"/>
      <c r="R481" s="20" t="n"/>
      <c r="S481" s="39" t="n"/>
    </row>
    <row r="482">
      <c r="A482" s="1" t="n"/>
      <c r="B482" s="1" t="n"/>
      <c r="C482" s="1" t="n"/>
      <c r="D482" s="1" t="n"/>
      <c r="E482" s="1" t="n"/>
      <c r="F482" s="1" t="n"/>
      <c r="G482" s="1" t="n"/>
      <c r="H482" s="1" t="n"/>
      <c r="I482" s="2" t="n"/>
      <c r="J482" s="2" t="n"/>
      <c r="K482" s="2" t="n"/>
      <c r="L482" s="2" t="n"/>
      <c r="M482" s="2" t="n"/>
      <c r="N482" s="2" t="n"/>
      <c r="O482" s="1" t="n"/>
      <c r="P482" s="1" t="n"/>
      <c r="R482" s="20" t="n"/>
      <c r="S482" s="39" t="n"/>
    </row>
    <row r="483">
      <c r="A483" s="1" t="n"/>
      <c r="B483" s="1" t="n"/>
      <c r="C483" s="1" t="n"/>
      <c r="D483" s="1" t="n"/>
      <c r="E483" s="1" t="n"/>
      <c r="F483" s="1" t="n"/>
      <c r="G483" s="1" t="n"/>
      <c r="H483" s="1" t="n"/>
      <c r="I483" s="2" t="n"/>
      <c r="J483" s="2" t="n"/>
      <c r="K483" s="2" t="n"/>
      <c r="L483" s="2" t="n"/>
      <c r="M483" s="2" t="n"/>
      <c r="N483" s="2" t="n"/>
      <c r="O483" s="1" t="n"/>
      <c r="P483" s="1" t="n"/>
      <c r="R483" s="20" t="n"/>
      <c r="S483" s="39" t="n"/>
    </row>
    <row r="484">
      <c r="A484" s="1" t="n"/>
      <c r="B484" s="1" t="n"/>
      <c r="C484" s="1" t="n"/>
      <c r="D484" s="1" t="n"/>
      <c r="E484" s="1" t="n"/>
      <c r="F484" s="1" t="n"/>
      <c r="G484" s="1" t="n"/>
      <c r="H484" s="1" t="n"/>
      <c r="I484" s="2" t="n"/>
      <c r="J484" s="2" t="n"/>
      <c r="K484" s="2" t="n"/>
      <c r="L484" s="2" t="n"/>
      <c r="M484" s="2" t="n"/>
      <c r="N484" s="2" t="n"/>
      <c r="O484" s="1" t="n"/>
      <c r="P484" s="1" t="n"/>
      <c r="R484" s="20" t="n"/>
      <c r="S484" s="39" t="n"/>
    </row>
    <row r="485">
      <c r="A485" s="1" t="n"/>
      <c r="B485" s="1" t="n"/>
      <c r="C485" s="1" t="n"/>
      <c r="D485" s="1" t="n"/>
      <c r="E485" s="1" t="n"/>
      <c r="F485" s="1" t="n"/>
      <c r="G485" s="1" t="n"/>
      <c r="H485" s="1" t="n"/>
      <c r="I485" s="2" t="n"/>
      <c r="J485" s="2" t="n"/>
      <c r="K485" s="2" t="n"/>
      <c r="L485" s="2" t="n"/>
      <c r="M485" s="2" t="n"/>
      <c r="N485" s="2" t="n"/>
      <c r="O485" s="1" t="n"/>
      <c r="P485" s="1" t="n"/>
      <c r="R485" s="20" t="n"/>
      <c r="S485" s="39" t="n"/>
    </row>
    <row r="486">
      <c r="A486" s="1" t="n"/>
      <c r="B486" s="1" t="n"/>
      <c r="C486" s="1" t="n"/>
      <c r="D486" s="1" t="n"/>
      <c r="E486" s="1" t="n"/>
      <c r="F486" s="1" t="n"/>
      <c r="G486" s="1" t="n"/>
      <c r="H486" s="1" t="n"/>
      <c r="I486" s="2" t="n"/>
      <c r="J486" s="2" t="n"/>
      <c r="K486" s="2" t="n"/>
      <c r="L486" s="2" t="n"/>
      <c r="M486" s="2" t="n"/>
      <c r="N486" s="2" t="n"/>
      <c r="O486" s="1" t="n"/>
      <c r="P486" s="1" t="n"/>
      <c r="R486" s="20" t="n"/>
      <c r="S486" s="39" t="n"/>
    </row>
    <row r="487">
      <c r="A487" s="1" t="n"/>
      <c r="B487" s="1" t="n"/>
      <c r="C487" s="1" t="n"/>
      <c r="D487" s="1" t="n"/>
      <c r="E487" s="1" t="n"/>
      <c r="F487" s="1" t="n"/>
      <c r="G487" s="1" t="n"/>
      <c r="H487" s="1" t="n"/>
      <c r="I487" s="2" t="n"/>
      <c r="J487" s="2" t="n"/>
      <c r="K487" s="2" t="n"/>
      <c r="L487" s="2" t="n"/>
      <c r="M487" s="2" t="n"/>
      <c r="N487" s="2" t="n"/>
      <c r="O487" s="1" t="n"/>
      <c r="P487" s="1" t="n"/>
      <c r="R487" s="20" t="n"/>
      <c r="S487" s="39" t="n"/>
    </row>
    <row r="488">
      <c r="A488" s="1" t="n"/>
      <c r="B488" s="1" t="n"/>
      <c r="C488" s="1" t="n"/>
      <c r="D488" s="1" t="n"/>
      <c r="E488" s="1" t="n"/>
      <c r="F488" s="1" t="n"/>
      <c r="G488" s="1" t="n"/>
      <c r="H488" s="1" t="n"/>
      <c r="I488" s="2" t="n"/>
      <c r="J488" s="2" t="n"/>
      <c r="K488" s="2" t="n"/>
      <c r="L488" s="2" t="n"/>
      <c r="M488" s="2" t="n"/>
      <c r="N488" s="2" t="n"/>
      <c r="O488" s="1" t="n"/>
      <c r="P488" s="1" t="n"/>
      <c r="R488" s="20" t="n"/>
      <c r="S488" s="39" t="n"/>
    </row>
    <row r="489">
      <c r="A489" s="1" t="n"/>
      <c r="B489" s="1" t="n"/>
      <c r="C489" s="1" t="n"/>
      <c r="D489" s="1" t="n"/>
      <c r="E489" s="1" t="n"/>
      <c r="F489" s="1" t="n"/>
      <c r="G489" s="1" t="n"/>
      <c r="H489" s="1" t="n"/>
      <c r="I489" s="2" t="n"/>
      <c r="J489" s="2" t="n"/>
      <c r="K489" s="2" t="n"/>
      <c r="L489" s="2" t="n"/>
      <c r="M489" s="2" t="n"/>
      <c r="N489" s="2" t="n"/>
      <c r="O489" s="1" t="n"/>
      <c r="P489" s="1" t="n"/>
      <c r="R489" s="20" t="n"/>
      <c r="S489" s="39" t="n"/>
    </row>
    <row r="490">
      <c r="A490" s="1" t="n"/>
      <c r="B490" s="1" t="n"/>
      <c r="C490" s="1" t="n"/>
      <c r="D490" s="1" t="n"/>
      <c r="E490" s="1" t="n"/>
      <c r="F490" s="1" t="n"/>
      <c r="G490" s="1" t="n"/>
      <c r="H490" s="1" t="n"/>
      <c r="I490" s="2" t="n"/>
      <c r="J490" s="2" t="n"/>
      <c r="K490" s="2" t="n"/>
      <c r="L490" s="2" t="n"/>
      <c r="M490" s="2" t="n"/>
      <c r="N490" s="2" t="n"/>
      <c r="O490" s="1" t="n"/>
      <c r="P490" s="1" t="n"/>
      <c r="R490" s="20" t="n"/>
      <c r="S490" s="39" t="n"/>
    </row>
    <row r="491">
      <c r="A491" s="1" t="n"/>
      <c r="B491" s="1" t="n"/>
      <c r="C491" s="1" t="n"/>
      <c r="D491" s="1" t="n"/>
      <c r="E491" s="1" t="n"/>
      <c r="F491" s="1" t="n"/>
      <c r="G491" s="1" t="n"/>
      <c r="H491" s="1" t="n"/>
      <c r="I491" s="2" t="n"/>
      <c r="J491" s="2" t="n"/>
      <c r="K491" s="2" t="n"/>
      <c r="L491" s="2" t="n"/>
      <c r="M491" s="2" t="n"/>
      <c r="N491" s="2" t="n"/>
      <c r="O491" s="1" t="n"/>
      <c r="P491" s="1" t="n"/>
      <c r="R491" s="20" t="n"/>
      <c r="S491" s="39" t="n"/>
    </row>
    <row r="492">
      <c r="A492" s="1" t="n"/>
      <c r="B492" s="1" t="n"/>
      <c r="C492" s="1" t="n"/>
      <c r="D492" s="1" t="n"/>
      <c r="E492" s="1" t="n"/>
      <c r="F492" s="1" t="n"/>
      <c r="G492" s="1" t="n"/>
      <c r="H492" s="1" t="n"/>
      <c r="I492" s="2" t="n"/>
      <c r="J492" s="2" t="n"/>
      <c r="K492" s="2" t="n"/>
      <c r="L492" s="2" t="n"/>
      <c r="M492" s="2" t="n"/>
      <c r="N492" s="2" t="n"/>
      <c r="O492" s="1" t="n"/>
      <c r="P492" s="1" t="n"/>
      <c r="R492" s="20" t="n"/>
      <c r="S492" s="39" t="n"/>
    </row>
    <row r="493">
      <c r="A493" s="1" t="n"/>
      <c r="B493" s="1" t="n"/>
      <c r="C493" s="1" t="n"/>
      <c r="D493" s="1" t="n"/>
      <c r="E493" s="1" t="n"/>
      <c r="F493" s="1" t="n"/>
      <c r="G493" s="1" t="n"/>
      <c r="H493" s="1" t="n"/>
      <c r="I493" s="2" t="n"/>
      <c r="J493" s="2" t="n"/>
      <c r="K493" s="2" t="n"/>
      <c r="L493" s="2" t="n"/>
      <c r="M493" s="2" t="n"/>
      <c r="N493" s="2" t="n"/>
      <c r="O493" s="1" t="n"/>
      <c r="P493" s="1" t="n"/>
      <c r="R493" s="20" t="n"/>
      <c r="S493" s="39" t="n"/>
    </row>
    <row r="494">
      <c r="A494" s="1" t="n"/>
      <c r="B494" s="1" t="n"/>
      <c r="C494" s="1" t="n"/>
      <c r="D494" s="1" t="n"/>
      <c r="E494" s="1" t="n"/>
      <c r="F494" s="1" t="n"/>
      <c r="G494" s="1" t="n"/>
      <c r="H494" s="1" t="n"/>
      <c r="I494" s="2" t="n"/>
      <c r="J494" s="2" t="n"/>
      <c r="K494" s="2" t="n"/>
      <c r="L494" s="2" t="n"/>
      <c r="M494" s="2" t="n"/>
      <c r="N494" s="2" t="n"/>
      <c r="O494" s="1" t="n"/>
      <c r="P494" s="1" t="n"/>
      <c r="R494" s="20" t="n"/>
      <c r="S494" s="39" t="n"/>
    </row>
    <row r="495">
      <c r="A495" s="1" t="n"/>
      <c r="B495" s="1" t="n"/>
      <c r="C495" s="1" t="n"/>
      <c r="D495" s="1" t="n"/>
      <c r="E495" s="1" t="n"/>
      <c r="F495" s="1" t="n"/>
      <c r="G495" s="1" t="n"/>
      <c r="H495" s="1" t="n"/>
      <c r="I495" s="2" t="n"/>
      <c r="J495" s="2" t="n"/>
      <c r="K495" s="2" t="n"/>
      <c r="L495" s="2" t="n"/>
      <c r="M495" s="2" t="n"/>
      <c r="N495" s="2" t="n"/>
      <c r="O495" s="1" t="n"/>
      <c r="P495" s="1" t="n"/>
      <c r="R495" s="20" t="n"/>
      <c r="S495" s="39" t="n"/>
    </row>
    <row r="496">
      <c r="A496" s="1" t="n"/>
      <c r="B496" s="1" t="n"/>
      <c r="C496" s="1" t="n"/>
      <c r="D496" s="1" t="n"/>
      <c r="E496" s="1" t="n"/>
      <c r="F496" s="1" t="n"/>
      <c r="G496" s="1" t="n"/>
      <c r="H496" s="1" t="n"/>
      <c r="I496" s="2" t="n"/>
      <c r="J496" s="2" t="n"/>
      <c r="K496" s="2" t="n"/>
      <c r="L496" s="2" t="n"/>
      <c r="M496" s="2" t="n"/>
      <c r="N496" s="2" t="n"/>
      <c r="O496" s="1" t="n"/>
      <c r="P496" s="1" t="n"/>
      <c r="R496" s="20" t="n"/>
      <c r="S496" s="39" t="n"/>
    </row>
    <row r="497">
      <c r="A497" s="1" t="n"/>
      <c r="B497" s="1" t="n"/>
      <c r="C497" s="1" t="n"/>
      <c r="D497" s="1" t="n"/>
      <c r="E497" s="1" t="n"/>
      <c r="F497" s="1" t="n"/>
      <c r="G497" s="1" t="n"/>
      <c r="H497" s="1" t="n"/>
      <c r="I497" s="2" t="n"/>
      <c r="J497" s="2" t="n"/>
      <c r="K497" s="2" t="n"/>
      <c r="L497" s="2" t="n"/>
      <c r="M497" s="2" t="n"/>
      <c r="N497" s="2" t="n"/>
      <c r="O497" s="1" t="n"/>
      <c r="P497" s="1" t="n"/>
      <c r="R497" s="20" t="n"/>
      <c r="S497" s="39" t="n"/>
    </row>
    <row r="498">
      <c r="A498" s="1" t="n"/>
      <c r="B498" s="1" t="n"/>
      <c r="C498" s="1" t="n"/>
      <c r="D498" s="1" t="n"/>
      <c r="E498" s="1" t="n"/>
      <c r="F498" s="1" t="n"/>
      <c r="G498" s="1" t="n"/>
      <c r="H498" s="1" t="n"/>
      <c r="I498" s="2" t="n"/>
      <c r="J498" s="2" t="n"/>
      <c r="K498" s="2" t="n"/>
      <c r="L498" s="2" t="n"/>
      <c r="M498" s="2" t="n"/>
      <c r="N498" s="2" t="n"/>
      <c r="O498" s="1" t="n"/>
      <c r="P498" s="1" t="n"/>
      <c r="R498" s="20" t="n"/>
      <c r="S498" s="39" t="n"/>
    </row>
    <row r="499">
      <c r="A499" s="1" t="n"/>
      <c r="B499" s="1" t="n"/>
      <c r="C499" s="1" t="n"/>
      <c r="D499" s="1" t="n"/>
      <c r="E499" s="1" t="n"/>
      <c r="F499" s="1" t="n"/>
      <c r="G499" s="1" t="n"/>
      <c r="H499" s="1" t="n"/>
      <c r="I499" s="2" t="n"/>
      <c r="J499" s="2" t="n"/>
      <c r="K499" s="2" t="n"/>
      <c r="L499" s="2" t="n"/>
      <c r="M499" s="2" t="n"/>
      <c r="N499" s="2" t="n"/>
      <c r="O499" s="1" t="n"/>
      <c r="P499" s="1" t="n"/>
      <c r="R499" s="20" t="n"/>
      <c r="S499" s="39" t="n"/>
    </row>
    <row r="500">
      <c r="A500" s="1" t="n"/>
      <c r="B500" s="1" t="n"/>
      <c r="C500" s="1" t="n"/>
      <c r="D500" s="1" t="n"/>
      <c r="E500" s="1" t="n"/>
      <c r="F500" s="1" t="n"/>
      <c r="G500" s="1" t="n"/>
      <c r="H500" s="1" t="n"/>
      <c r="I500" s="2" t="n"/>
      <c r="J500" s="2" t="n"/>
      <c r="K500" s="2" t="n"/>
      <c r="L500" s="2" t="n"/>
      <c r="M500" s="2" t="n"/>
      <c r="N500" s="2" t="n"/>
      <c r="O500" s="1" t="n"/>
      <c r="P500" s="1" t="n"/>
      <c r="R500" s="20" t="n"/>
      <c r="S500" s="39" t="n"/>
    </row>
    <row r="501">
      <c r="A501" s="1" t="n"/>
      <c r="B501" s="1" t="n"/>
      <c r="C501" s="1" t="n"/>
      <c r="D501" s="1" t="n"/>
      <c r="E501" s="1" t="n"/>
      <c r="F501" s="1" t="n"/>
      <c r="G501" s="1" t="n"/>
      <c r="H501" s="1" t="n"/>
      <c r="I501" s="2" t="n"/>
      <c r="J501" s="2" t="n"/>
      <c r="K501" s="2" t="n"/>
      <c r="L501" s="2" t="n"/>
      <c r="M501" s="2" t="n"/>
      <c r="N501" s="2" t="n"/>
      <c r="O501" s="1" t="n"/>
      <c r="P501" s="1" t="n"/>
      <c r="R501" s="20" t="n"/>
      <c r="S501" s="39" t="n"/>
    </row>
  </sheetData>
  <autoFilter ref="A1:T501"/>
  <dataValidations count="5">
    <dataValidation sqref="A2:A501" showDropDown="0" showInputMessage="0" showErrorMessage="1" allowBlank="1" type="list">
      <formula1>Projects!$A$2:$A$51</formula1>
    </dataValidation>
    <dataValidation sqref="B2:B501" showDropDown="0" showInputMessage="0" showErrorMessage="1" allowBlank="1" type="list">
      <formula1>Lists!$A$2:$A$31</formula1>
    </dataValidation>
    <dataValidation sqref="L2:L501" showDropDown="0" showInputMessage="0" showErrorMessage="1" allowBlank="1" type="list">
      <formula1>Lists!$B$2:$B$8</formula1>
    </dataValidation>
    <dataValidation sqref="P2:P501" showDropDown="0" showInputMessage="0" showErrorMessage="1" allowBlank="1" type="list">
      <formula1>Lists!$C$2:$C$3</formula1>
    </dataValidation>
    <dataValidation sqref="Q2:Q501" showDropDown="0" showInputMessage="0" showErrorMessage="1" allowBlank="1" type="list">
      <formula1>Lists!$D$2:$D$6</formula1>
    </dataValidation>
  </dataValidations>
  <pageMargins left="0.75" right="0.75" top="1" bottom="1" header="0.511811023622047" footer="0.511811023622047"/>
  <pageSetup orientation="portrait" paperSize="9" horizontalDpi="300" verticalDpi="300"/>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C101"/>
  <sheetViews>
    <sheetView zoomScaleNormal="100" workbookViewId="0">
      <pane ySplit="1" topLeftCell="A2" activePane="bottomLeft" state="frozen"/>
      <selection pane="bottomLeft" activeCell="E25" sqref="E25"/>
    </sheetView>
  </sheetViews>
  <sheetFormatPr baseColWidth="8" defaultColWidth="8.6328125" defaultRowHeight="14.5"/>
  <cols>
    <col width="24" customWidth="1" min="1" max="1"/>
    <col width="30" customWidth="1" min="2" max="2"/>
    <col width="50" customWidth="1" min="3" max="3"/>
  </cols>
  <sheetData>
    <row r="1" ht="30" customHeight="1">
      <c r="A1" s="3" t="inlineStr">
        <is>
          <t>Manufacturer</t>
        </is>
      </c>
      <c r="B1" s="3" t="inlineStr">
        <is>
          <t>Official Domain</t>
        </is>
      </c>
      <c r="C1" s="3" t="inlineStr">
        <is>
          <t>Notes</t>
        </is>
      </c>
    </row>
    <row r="2" ht="25" customHeight="1">
      <c r="A2" s="7" t="inlineStr">
        <is>
          <t>James Hardie</t>
        </is>
      </c>
      <c r="B2" s="7" t="inlineStr">
        <is>
          <t>jameshardie.com</t>
        </is>
      </c>
      <c r="C2" s="7" t="inlineStr">
        <is>
          <t>Starter list - double-check each domain and add the brands UH Homes uses.</t>
        </is>
      </c>
    </row>
    <row r="3">
      <c r="A3" s="7" t="inlineStr">
        <is>
          <t>Therma-Tru</t>
        </is>
      </c>
      <c r="B3" s="7" t="inlineStr">
        <is>
          <t>thermatru.com</t>
        </is>
      </c>
      <c r="C3" s="7" t="n"/>
    </row>
    <row r="4">
      <c r="A4" s="7" t="inlineStr">
        <is>
          <t>Pella</t>
        </is>
      </c>
      <c r="B4" s="7" t="inlineStr">
        <is>
          <t>pella.com</t>
        </is>
      </c>
      <c r="C4" s="7" t="n"/>
    </row>
    <row r="5">
      <c r="A5" s="7" t="inlineStr">
        <is>
          <t>Andersen</t>
        </is>
      </c>
      <c r="B5" s="7" t="inlineStr">
        <is>
          <t>andersenwindows.com</t>
        </is>
      </c>
      <c r="C5" s="7" t="n"/>
    </row>
    <row r="6">
      <c r="A6" s="7" t="inlineStr">
        <is>
          <t>Moen</t>
        </is>
      </c>
      <c r="B6" s="7" t="inlineStr">
        <is>
          <t>moen.com</t>
        </is>
      </c>
      <c r="C6" s="7" t="n"/>
    </row>
    <row r="7">
      <c r="A7" s="7" t="inlineStr">
        <is>
          <t>Delta</t>
        </is>
      </c>
      <c r="B7" s="7" t="inlineStr">
        <is>
          <t>deltafaucet.com</t>
        </is>
      </c>
      <c r="C7" s="7" t="n"/>
    </row>
    <row r="8">
      <c r="A8" s="7" t="inlineStr">
        <is>
          <t>Kohler</t>
        </is>
      </c>
      <c r="B8" s="7" t="inlineStr">
        <is>
          <t>kohler.com</t>
        </is>
      </c>
      <c r="C8" s="7" t="n"/>
    </row>
    <row r="9">
      <c r="A9" s="7" t="inlineStr">
        <is>
          <t>Sherwin-Williams</t>
        </is>
      </c>
      <c r="B9" s="7" t="inlineStr">
        <is>
          <t>sherwin-williams.com</t>
        </is>
      </c>
      <c r="C9" s="7" t="n"/>
    </row>
    <row r="10">
      <c r="A10" s="7" t="inlineStr">
        <is>
          <t>Behr</t>
        </is>
      </c>
      <c r="B10" s="7" t="inlineStr">
        <is>
          <t>behr.com</t>
        </is>
      </c>
      <c r="C10" s="7" t="n"/>
    </row>
    <row r="11">
      <c r="A11" s="7" t="inlineStr">
        <is>
          <t>Kichler</t>
        </is>
      </c>
      <c r="B11" s="7" t="inlineStr">
        <is>
          <t>kichler.com</t>
        </is>
      </c>
      <c r="C11" s="7" t="n"/>
    </row>
    <row r="12">
      <c r="A12" s="7" t="inlineStr">
        <is>
          <t>Daltile</t>
        </is>
      </c>
      <c r="B12" s="7" t="inlineStr">
        <is>
          <t>daltile.com</t>
        </is>
      </c>
      <c r="C12" s="7" t="n"/>
    </row>
    <row r="13">
      <c r="A13" s="7" t="inlineStr">
        <is>
          <t>Shaw</t>
        </is>
      </c>
      <c r="B13" s="7" t="inlineStr">
        <is>
          <t>shawfloors.com</t>
        </is>
      </c>
      <c r="C13" s="7" t="n"/>
    </row>
    <row r="14">
      <c r="A14" s="7" t="inlineStr">
        <is>
          <t>GE Appliances</t>
        </is>
      </c>
      <c r="B14" s="7" t="inlineStr">
        <is>
          <t>geappliances.com</t>
        </is>
      </c>
      <c r="C14" s="7" t="n"/>
    </row>
    <row r="15">
      <c r="A15" s="7" t="inlineStr">
        <is>
          <t>Whirlpool</t>
        </is>
      </c>
      <c r="B15" s="7" t="inlineStr">
        <is>
          <t>whirlpool.com</t>
        </is>
      </c>
      <c r="C15" s="7" t="n"/>
    </row>
    <row r="16">
      <c r="A16" s="7" t="inlineStr">
        <is>
          <t>GAF</t>
        </is>
      </c>
      <c r="B16" s="7" t="inlineStr">
        <is>
          <t>gaf.com</t>
        </is>
      </c>
      <c r="C16" s="7" t="n"/>
    </row>
    <row r="17">
      <c r="A17" s="7" t="inlineStr">
        <is>
          <t>Owens Corning</t>
        </is>
      </c>
      <c r="B17" s="7" t="inlineStr">
        <is>
          <t>owenscorning.com</t>
        </is>
      </c>
      <c r="C17" s="7" t="n"/>
    </row>
    <row r="18">
      <c r="A18" s="7" t="inlineStr">
        <is>
          <t>Kwikset</t>
        </is>
      </c>
      <c r="B18" s="7" t="inlineStr">
        <is>
          <t>kwikset.com</t>
        </is>
      </c>
      <c r="C18" s="7" t="n"/>
    </row>
    <row r="19">
      <c r="A19" s="7" t="inlineStr">
        <is>
          <t>Schlage</t>
        </is>
      </c>
      <c r="B19" s="7" t="inlineStr">
        <is>
          <t>schlage.com</t>
        </is>
      </c>
      <c r="C19" s="7" t="n"/>
    </row>
    <row r="20">
      <c r="A20" s="7" t="inlineStr">
        <is>
          <t>Emtek</t>
        </is>
      </c>
      <c r="B20" s="7" t="inlineStr">
        <is>
          <t>emtek.com</t>
        </is>
      </c>
      <c r="C20" s="7" t="n"/>
    </row>
    <row r="21">
      <c r="A21" s="7" t="inlineStr">
        <is>
          <t>Trex</t>
        </is>
      </c>
      <c r="B21" s="7" t="inlineStr">
        <is>
          <t>trex.com</t>
        </is>
      </c>
      <c r="C21" s="7" t="n"/>
    </row>
    <row r="22">
      <c r="A22" s="1" t="n"/>
      <c r="B22" s="1" t="n"/>
      <c r="C22" s="1" t="n"/>
    </row>
    <row r="23">
      <c r="A23" s="1" t="n"/>
      <c r="B23" s="1" t="n"/>
      <c r="C23" s="1" t="n"/>
    </row>
    <row r="24">
      <c r="A24" s="1" t="n"/>
      <c r="B24" s="1" t="n"/>
      <c r="C24" s="1" t="n"/>
    </row>
    <row r="25">
      <c r="A25" s="1" t="n"/>
      <c r="B25" s="1" t="n"/>
      <c r="C25" s="1" t="n"/>
    </row>
    <row r="26">
      <c r="A26" s="1" t="n"/>
      <c r="B26" s="1" t="n"/>
      <c r="C26" s="1" t="n"/>
    </row>
    <row r="27">
      <c r="A27" s="1" t="n"/>
      <c r="B27" s="1" t="n"/>
      <c r="C27" s="1" t="n"/>
    </row>
    <row r="28">
      <c r="A28" s="1" t="n"/>
      <c r="B28" s="1" t="n"/>
      <c r="C28" s="1" t="n"/>
    </row>
    <row r="29">
      <c r="A29" s="1" t="n"/>
      <c r="B29" s="1" t="n"/>
      <c r="C29" s="1" t="n"/>
    </row>
    <row r="30">
      <c r="A30" s="1" t="n"/>
      <c r="B30" s="1" t="n"/>
      <c r="C30" s="1" t="n"/>
    </row>
    <row r="31">
      <c r="A31" s="1" t="n"/>
      <c r="B31" s="1" t="n"/>
      <c r="C31" s="1" t="n"/>
    </row>
    <row r="32">
      <c r="A32" s="1" t="n"/>
      <c r="B32" s="1" t="n"/>
      <c r="C32" s="1" t="n"/>
    </row>
    <row r="33">
      <c r="A33" s="1" t="n"/>
      <c r="B33" s="1" t="n"/>
      <c r="C33" s="1" t="n"/>
    </row>
    <row r="34">
      <c r="A34" s="1" t="n"/>
      <c r="B34" s="1" t="n"/>
      <c r="C34" s="1" t="n"/>
    </row>
    <row r="35">
      <c r="A35" s="1" t="n"/>
      <c r="B35" s="1" t="n"/>
      <c r="C35" s="1" t="n"/>
    </row>
    <row r="36">
      <c r="A36" s="1" t="n"/>
      <c r="B36" s="1" t="n"/>
      <c r="C36" s="1" t="n"/>
    </row>
    <row r="37">
      <c r="A37" s="1" t="n"/>
      <c r="B37" s="1" t="n"/>
      <c r="C37" s="1" t="n"/>
    </row>
    <row r="38">
      <c r="A38" s="1" t="n"/>
      <c r="B38" s="1" t="n"/>
      <c r="C38" s="1" t="n"/>
    </row>
    <row r="39">
      <c r="A39" s="1" t="n"/>
      <c r="B39" s="1" t="n"/>
      <c r="C39" s="1" t="n"/>
    </row>
    <row r="40">
      <c r="A40" s="1" t="n"/>
      <c r="B40" s="1" t="n"/>
      <c r="C40" s="1" t="n"/>
    </row>
    <row r="41">
      <c r="A41" s="1" t="n"/>
      <c r="B41" s="1" t="n"/>
      <c r="C41" s="1" t="n"/>
    </row>
    <row r="42">
      <c r="A42" s="1" t="n"/>
      <c r="B42" s="1" t="n"/>
      <c r="C42" s="1" t="n"/>
    </row>
    <row r="43">
      <c r="A43" s="1" t="n"/>
      <c r="B43" s="1" t="n"/>
      <c r="C43" s="1" t="n"/>
    </row>
    <row r="44">
      <c r="A44" s="1" t="n"/>
      <c r="B44" s="1" t="n"/>
      <c r="C44" s="1" t="n"/>
    </row>
    <row r="45">
      <c r="A45" s="1" t="n"/>
      <c r="B45" s="1" t="n"/>
      <c r="C45" s="1" t="n"/>
    </row>
    <row r="46">
      <c r="A46" s="1" t="n"/>
      <c r="B46" s="1" t="n"/>
      <c r="C46" s="1" t="n"/>
    </row>
    <row r="47">
      <c r="A47" s="1" t="n"/>
      <c r="B47" s="1" t="n"/>
      <c r="C47" s="1" t="n"/>
    </row>
    <row r="48">
      <c r="A48" s="1" t="n"/>
      <c r="B48" s="1" t="n"/>
      <c r="C48" s="1" t="n"/>
    </row>
    <row r="49">
      <c r="A49" s="1" t="n"/>
      <c r="B49" s="1" t="n"/>
      <c r="C49" s="1" t="n"/>
    </row>
    <row r="50">
      <c r="A50" s="1" t="n"/>
      <c r="B50" s="1" t="n"/>
      <c r="C50" s="1" t="n"/>
    </row>
    <row r="51">
      <c r="A51" s="1" t="n"/>
      <c r="B51" s="1" t="n"/>
      <c r="C51" s="1" t="n"/>
    </row>
    <row r="52">
      <c r="A52" s="1" t="n"/>
      <c r="B52" s="1" t="n"/>
      <c r="C52" s="1" t="n"/>
    </row>
    <row r="53">
      <c r="A53" s="1" t="n"/>
      <c r="B53" s="1" t="n"/>
      <c r="C53" s="1" t="n"/>
    </row>
    <row r="54">
      <c r="A54" s="1" t="n"/>
      <c r="B54" s="1" t="n"/>
      <c r="C54" s="1" t="n"/>
    </row>
    <row r="55">
      <c r="A55" s="1" t="n"/>
      <c r="B55" s="1" t="n"/>
      <c r="C55" s="1" t="n"/>
    </row>
    <row r="56">
      <c r="A56" s="1" t="n"/>
      <c r="B56" s="1" t="n"/>
      <c r="C56" s="1" t="n"/>
    </row>
    <row r="57">
      <c r="A57" s="1" t="n"/>
      <c r="B57" s="1" t="n"/>
      <c r="C57" s="1" t="n"/>
    </row>
    <row r="58">
      <c r="A58" s="1" t="n"/>
      <c r="B58" s="1" t="n"/>
      <c r="C58" s="1" t="n"/>
    </row>
    <row r="59">
      <c r="A59" s="1" t="n"/>
      <c r="B59" s="1" t="n"/>
      <c r="C59" s="1" t="n"/>
    </row>
    <row r="60">
      <c r="A60" s="1" t="n"/>
      <c r="B60" s="1" t="n"/>
      <c r="C60" s="1" t="n"/>
    </row>
    <row r="61">
      <c r="A61" s="1" t="n"/>
      <c r="B61" s="1" t="n"/>
      <c r="C61" s="1" t="n"/>
    </row>
    <row r="62">
      <c r="A62" s="1" t="n"/>
      <c r="B62" s="1" t="n"/>
      <c r="C62" s="1" t="n"/>
    </row>
    <row r="63">
      <c r="A63" s="1" t="n"/>
      <c r="B63" s="1" t="n"/>
      <c r="C63" s="1" t="n"/>
    </row>
    <row r="64">
      <c r="A64" s="1" t="n"/>
      <c r="B64" s="1" t="n"/>
      <c r="C64" s="1" t="n"/>
    </row>
    <row r="65">
      <c r="A65" s="1" t="n"/>
      <c r="B65" s="1" t="n"/>
      <c r="C65" s="1" t="n"/>
    </row>
    <row r="66">
      <c r="A66" s="1" t="n"/>
      <c r="B66" s="1" t="n"/>
      <c r="C66" s="1" t="n"/>
    </row>
    <row r="67">
      <c r="A67" s="1" t="n"/>
      <c r="B67" s="1" t="n"/>
      <c r="C67" s="1" t="n"/>
    </row>
    <row r="68">
      <c r="A68" s="1" t="n"/>
      <c r="B68" s="1" t="n"/>
      <c r="C68" s="1" t="n"/>
    </row>
    <row r="69">
      <c r="A69" s="1" t="n"/>
      <c r="B69" s="1" t="n"/>
      <c r="C69" s="1" t="n"/>
    </row>
    <row r="70">
      <c r="A70" s="1" t="n"/>
      <c r="B70" s="1" t="n"/>
      <c r="C70" s="1" t="n"/>
    </row>
    <row r="71">
      <c r="A71" s="1" t="n"/>
      <c r="B71" s="1" t="n"/>
      <c r="C71" s="1" t="n"/>
    </row>
    <row r="72">
      <c r="A72" s="1" t="n"/>
      <c r="B72" s="1" t="n"/>
      <c r="C72" s="1" t="n"/>
    </row>
    <row r="73">
      <c r="A73" s="1" t="n"/>
      <c r="B73" s="1" t="n"/>
      <c r="C73" s="1" t="n"/>
    </row>
    <row r="74">
      <c r="A74" s="1" t="n"/>
      <c r="B74" s="1" t="n"/>
      <c r="C74" s="1" t="n"/>
    </row>
    <row r="75">
      <c r="A75" s="1" t="n"/>
      <c r="B75" s="1" t="n"/>
      <c r="C75" s="1" t="n"/>
    </row>
    <row r="76">
      <c r="A76" s="1" t="n"/>
      <c r="B76" s="1" t="n"/>
      <c r="C76" s="1" t="n"/>
    </row>
    <row r="77">
      <c r="A77" s="1" t="n"/>
      <c r="B77" s="1" t="n"/>
      <c r="C77" s="1" t="n"/>
    </row>
    <row r="78">
      <c r="A78" s="1" t="n"/>
      <c r="B78" s="1" t="n"/>
      <c r="C78" s="1" t="n"/>
    </row>
    <row r="79">
      <c r="A79" s="1" t="n"/>
      <c r="B79" s="1" t="n"/>
      <c r="C79" s="1" t="n"/>
    </row>
    <row r="80">
      <c r="A80" s="1" t="n"/>
      <c r="B80" s="1" t="n"/>
      <c r="C80" s="1" t="n"/>
    </row>
    <row r="81">
      <c r="A81" s="1" t="n"/>
      <c r="B81" s="1" t="n"/>
      <c r="C81" s="1" t="n"/>
    </row>
    <row r="82">
      <c r="A82" s="1" t="n"/>
      <c r="B82" s="1" t="n"/>
      <c r="C82" s="1" t="n"/>
    </row>
    <row r="83">
      <c r="A83" s="1" t="n"/>
      <c r="B83" s="1" t="n"/>
      <c r="C83" s="1" t="n"/>
    </row>
    <row r="84">
      <c r="A84" s="1" t="n"/>
      <c r="B84" s="1" t="n"/>
      <c r="C84" s="1" t="n"/>
    </row>
    <row r="85">
      <c r="A85" s="1" t="n"/>
      <c r="B85" s="1" t="n"/>
      <c r="C85" s="1" t="n"/>
    </row>
    <row r="86">
      <c r="A86" s="1" t="n"/>
      <c r="B86" s="1" t="n"/>
      <c r="C86" s="1" t="n"/>
    </row>
    <row r="87">
      <c r="A87" s="1" t="n"/>
      <c r="B87" s="1" t="n"/>
      <c r="C87" s="1" t="n"/>
    </row>
    <row r="88">
      <c r="A88" s="1" t="n"/>
      <c r="B88" s="1" t="n"/>
      <c r="C88" s="1" t="n"/>
    </row>
    <row r="89">
      <c r="A89" s="1" t="n"/>
      <c r="B89" s="1" t="n"/>
      <c r="C89" s="1" t="n"/>
    </row>
    <row r="90">
      <c r="A90" s="1" t="n"/>
      <c r="B90" s="1" t="n"/>
      <c r="C90" s="1" t="n"/>
    </row>
    <row r="91">
      <c r="A91" s="1" t="n"/>
      <c r="B91" s="1" t="n"/>
      <c r="C91" s="1" t="n"/>
    </row>
    <row r="92">
      <c r="A92" s="1" t="n"/>
      <c r="B92" s="1" t="n"/>
      <c r="C92" s="1" t="n"/>
    </row>
    <row r="93">
      <c r="A93" s="1" t="n"/>
      <c r="B93" s="1" t="n"/>
      <c r="C93" s="1" t="n"/>
    </row>
    <row r="94">
      <c r="A94" s="1" t="n"/>
      <c r="B94" s="1" t="n"/>
      <c r="C94" s="1" t="n"/>
    </row>
    <row r="95">
      <c r="A95" s="1" t="n"/>
      <c r="B95" s="1" t="n"/>
      <c r="C95" s="1" t="n"/>
    </row>
    <row r="96">
      <c r="A96" s="1" t="n"/>
      <c r="B96" s="1" t="n"/>
      <c r="C96" s="1" t="n"/>
    </row>
    <row r="97">
      <c r="A97" s="1" t="n"/>
      <c r="B97" s="1" t="n"/>
      <c r="C97" s="1" t="n"/>
    </row>
    <row r="98">
      <c r="A98" s="1" t="n"/>
      <c r="B98" s="1" t="n"/>
      <c r="C98" s="1" t="n"/>
    </row>
    <row r="99">
      <c r="A99" s="1" t="n"/>
      <c r="B99" s="1" t="n"/>
      <c r="C99" s="1" t="n"/>
    </row>
    <row r="100">
      <c r="A100" s="1" t="n"/>
      <c r="B100" s="1" t="n"/>
      <c r="C100" s="1" t="n"/>
    </row>
    <row r="101">
      <c r="A101" s="1" t="n"/>
      <c r="B101" s="1" t="n"/>
      <c r="C101" s="1" t="n"/>
    </row>
  </sheetData>
  <autoFilter ref="A1:C101"/>
  <pageMargins left="0.75" right="0.75" top="1" bottom="1" header="0.511811023622047" footer="0.511811023622047"/>
  <pageSetup orientation="portrait" paperSize="9" horizontalDpi="300" verticalDpi="300"/>
</worksheet>
</file>

<file path=xl/worksheets/sheet5.xml><?xml version="1.0" encoding="utf-8"?>
<worksheet xmlns="http://schemas.openxmlformats.org/spreadsheetml/2006/main">
  <sheetPr>
    <outlinePr summaryBelow="1" summaryRight="1"/>
    <pageSetUpPr/>
  </sheetPr>
  <dimension ref="A1:D31"/>
  <sheetViews>
    <sheetView zoomScaleNormal="100" workbookViewId="0">
      <pane ySplit="1" topLeftCell="A2" activePane="bottomLeft" state="frozen"/>
      <selection pane="bottomLeft" activeCell="B12" sqref="B12"/>
    </sheetView>
  </sheetViews>
  <sheetFormatPr baseColWidth="8" defaultColWidth="8.6328125" defaultRowHeight="14.5"/>
  <cols>
    <col width="26" customWidth="1" style="4" min="1" max="1"/>
    <col width="20" customWidth="1" style="4" min="2" max="2"/>
    <col width="10" customWidth="1" style="4" min="3" max="3"/>
    <col width="20" customWidth="1" style="4" min="4" max="16384"/>
  </cols>
  <sheetData>
    <row r="1" ht="30" customHeight="1">
      <c r="A1" s="3" t="inlineStr">
        <is>
          <t>Sections (lookbook order)</t>
        </is>
      </c>
      <c r="B1" s="3" t="inlineStr">
        <is>
          <t>Lookup Status</t>
        </is>
      </c>
      <c r="C1" s="3" t="inlineStr">
        <is>
          <t>Yes / No</t>
        </is>
      </c>
      <c r="D1" s="3" t="inlineStr">
        <is>
          <t>Client Status</t>
        </is>
      </c>
    </row>
    <row r="2">
      <c r="A2" s="5" t="inlineStr">
        <is>
          <t>Exterior</t>
        </is>
      </c>
      <c r="B2" s="6" t="inlineStr">
        <is>
          <t>Not run</t>
        </is>
      </c>
      <c r="C2" s="6" t="inlineStr">
        <is>
          <t>Yes</t>
        </is>
      </c>
      <c r="D2" t="inlineStr">
        <is>
          <t>Proposed</t>
        </is>
      </c>
    </row>
    <row r="3">
      <c r="A3" s="5" t="inlineStr">
        <is>
          <t>Roofing</t>
        </is>
      </c>
      <c r="B3" s="6" t="inlineStr">
        <is>
          <t>Found - verify</t>
        </is>
      </c>
      <c r="C3" s="6" t="inlineStr">
        <is>
          <t>No</t>
        </is>
      </c>
      <c r="D3" t="inlineStr">
        <is>
          <t>Presented</t>
        </is>
      </c>
    </row>
    <row r="4">
      <c r="A4" s="5" t="inlineStr">
        <is>
          <t>Windows &amp; Doors</t>
        </is>
      </c>
      <c r="B4" s="6" t="inlineStr">
        <is>
          <t>Found - retailer</t>
        </is>
      </c>
      <c r="C4" s="6" t="n"/>
      <c r="D4" t="inlineStr">
        <is>
          <t>Approved</t>
        </is>
      </c>
    </row>
    <row r="5">
      <c r="A5" s="5" t="inlineStr">
        <is>
          <t>Kitchen</t>
        </is>
      </c>
      <c r="B5" s="6" t="inlineStr">
        <is>
          <t>Multiple matches</t>
        </is>
      </c>
      <c r="C5" s="6" t="n"/>
      <c r="D5" t="inlineStr">
        <is>
          <t>Rejected</t>
        </is>
      </c>
    </row>
    <row r="6">
      <c r="A6" s="5" t="inlineStr">
        <is>
          <t>Appliances</t>
        </is>
      </c>
      <c r="B6" s="6" t="inlineStr">
        <is>
          <t>Not found</t>
        </is>
      </c>
      <c r="C6" s="6" t="n"/>
      <c r="D6" t="inlineStr">
        <is>
          <t>Changed</t>
        </is>
      </c>
    </row>
    <row r="7">
      <c r="A7" s="5" t="inlineStr">
        <is>
          <t>Bathrooms</t>
        </is>
      </c>
      <c r="B7" s="6" t="inlineStr">
        <is>
          <t>Search error</t>
        </is>
      </c>
      <c r="C7" s="6" t="n"/>
    </row>
    <row r="8">
      <c r="A8" s="5" t="inlineStr">
        <is>
          <t>Flooring</t>
        </is>
      </c>
      <c r="B8" s="6" t="inlineStr">
        <is>
          <t>Verified</t>
        </is>
      </c>
      <c r="C8" s="6" t="n"/>
    </row>
    <row r="9">
      <c r="A9" s="5" t="inlineStr">
        <is>
          <t>Lighting</t>
        </is>
      </c>
      <c r="B9" s="6" t="n"/>
      <c r="C9" s="6" t="n"/>
    </row>
    <row r="10">
      <c r="A10" s="5" t="inlineStr">
        <is>
          <t>Paint</t>
        </is>
      </c>
      <c r="B10" s="6" t="n"/>
      <c r="C10" s="6" t="n"/>
    </row>
    <row r="11">
      <c r="A11" s="5" t="inlineStr">
        <is>
          <t>Interior Doors &amp; Trim</t>
        </is>
      </c>
      <c r="B11" s="6" t="n"/>
      <c r="C11" s="6" t="n"/>
    </row>
    <row r="12">
      <c r="A12" s="5" t="inlineStr">
        <is>
          <t>Hardware</t>
        </is>
      </c>
      <c r="B12" s="6" t="n"/>
      <c r="C12" s="6" t="n"/>
    </row>
    <row r="13">
      <c r="A13" s="5" t="inlineStr">
        <is>
          <t>Other</t>
        </is>
      </c>
      <c r="B13" s="6" t="n"/>
      <c r="C13" s="6" t="n"/>
    </row>
    <row r="14">
      <c r="A14" s="5" t="inlineStr">
        <is>
          <t>1st Floor</t>
        </is>
      </c>
      <c r="B14" s="6" t="n"/>
      <c r="C14" s="6" t="n"/>
    </row>
    <row r="15">
      <c r="A15" s="5" t="inlineStr">
        <is>
          <t>2nd Floor</t>
        </is>
      </c>
      <c r="B15" s="6" t="n"/>
      <c r="C15" s="6" t="n"/>
    </row>
    <row r="16">
      <c r="A16" s="5" t="inlineStr">
        <is>
          <t>Outdoor Living</t>
        </is>
      </c>
      <c r="B16" s="6" t="n"/>
      <c r="C16" s="6" t="n"/>
    </row>
    <row r="17">
      <c r="A17" s="5" t="inlineStr">
        <is>
          <t>Garage</t>
        </is>
      </c>
      <c r="B17" s="6" t="n"/>
      <c r="C17" s="6" t="n"/>
    </row>
    <row r="18">
      <c r="A18" s="5" t="inlineStr">
        <is>
          <t>Bulk Items</t>
        </is>
      </c>
      <c r="B18" s="6" t="n"/>
      <c r="C18" s="6" t="n"/>
    </row>
    <row r="19">
      <c r="A19" s="5" t="n"/>
      <c r="B19" s="6" t="n"/>
      <c r="C19" s="6" t="n"/>
    </row>
    <row r="20">
      <c r="A20" s="5" t="n"/>
      <c r="B20" s="6" t="n"/>
      <c r="C20" s="6" t="n"/>
    </row>
    <row r="21">
      <c r="A21" s="5" t="n"/>
      <c r="B21" s="6" t="n"/>
      <c r="C21" s="6" t="n"/>
    </row>
    <row r="22">
      <c r="A22" s="5" t="n"/>
      <c r="B22" s="6" t="n"/>
      <c r="C22" s="6" t="n"/>
    </row>
    <row r="23">
      <c r="A23" s="5" t="n"/>
      <c r="B23" s="6" t="n"/>
      <c r="C23" s="6" t="n"/>
    </row>
    <row r="24">
      <c r="A24" s="5" t="n"/>
      <c r="B24" s="6" t="n"/>
      <c r="C24" s="6" t="n"/>
    </row>
    <row r="25">
      <c r="A25" s="5" t="n"/>
      <c r="B25" s="6" t="n"/>
      <c r="C25" s="6" t="n"/>
    </row>
    <row r="26">
      <c r="A26" s="5" t="n"/>
      <c r="B26" s="6" t="n"/>
      <c r="C26" s="6" t="n"/>
    </row>
    <row r="27">
      <c r="A27" s="5" t="n"/>
      <c r="B27" s="6" t="n"/>
      <c r="C27" s="6" t="n"/>
    </row>
    <row r="28">
      <c r="A28" s="5" t="n"/>
      <c r="B28" s="6" t="n"/>
      <c r="C28" s="6" t="n"/>
    </row>
    <row r="29">
      <c r="A29" s="5" t="n"/>
      <c r="B29" s="6" t="n"/>
      <c r="C29" s="6" t="n"/>
    </row>
    <row r="30">
      <c r="A30" s="5" t="n"/>
      <c r="B30" s="6" t="n"/>
      <c r="C30" s="6" t="n"/>
    </row>
    <row r="31">
      <c r="A31" s="5" t="n"/>
      <c r="B31" s="6" t="n"/>
      <c r="C31" s="6" t="n"/>
    </row>
  </sheetData>
  <pageMargins left="0.75" right="0.75" top="1" bottom="1" header="0.511811023622047" footer="0.511811023622047"/>
  <pageSetup orientation="portrait" paperSize="9" horizontalDpi="300" verticalDpi="300"/>
</worksheet>
</file>

<file path=xl/worksheets/sheet6.xml><?xml version="1.0" encoding="utf-8"?>
<worksheet xmlns="http://schemas.openxmlformats.org/spreadsheetml/2006/main">
  <sheetPr>
    <outlinePr summaryBelow="1" summaryRight="1"/>
    <pageSetUpPr/>
  </sheetPr>
  <dimension ref="A1:G308"/>
  <sheetViews>
    <sheetView showGridLines="0" workbookViewId="0">
      <pane ySplit="4" topLeftCell="A5" activePane="bottomLeft" state="frozen"/>
      <selection pane="bottomLeft" activeCell="A1" sqref="A1"/>
    </sheetView>
  </sheetViews>
  <sheetFormatPr baseColWidth="8" defaultRowHeight="15"/>
  <cols>
    <col width="7" customWidth="1" min="1" max="1"/>
    <col width="10" customWidth="1" min="2" max="2"/>
    <col width="78" customWidth="1" min="3" max="3"/>
    <col width="7" customWidth="1" min="4" max="4"/>
    <col width="13" customWidth="1" min="5" max="5"/>
    <col width="11" customWidth="1" min="6" max="6"/>
    <col width="15" customWidth="1" min="7" max="7"/>
  </cols>
  <sheetData>
    <row r="1">
      <c r="A1" s="21" t="inlineStr">
        <is>
          <t>Price Schedule</t>
        </is>
      </c>
    </row>
    <row r="2">
      <c r="A2" s="22" t="inlineStr">
        <is>
          <t>Rebuilt automatically from the Selections sheet - do not edit here. Enter costs in the Unit Price and Markup % columns on Selections; Price = Qty x Unit Price x (1 + Markup %).</t>
        </is>
      </c>
    </row>
    <row r="4">
      <c r="A4" s="23" t="inlineStr">
        <is>
          <t>S.No</t>
        </is>
      </c>
      <c r="B4" s="23" t="inlineStr">
        <is>
          <t>Code</t>
        </is>
      </c>
      <c r="C4" s="23" t="inlineStr">
        <is>
          <t>Description</t>
        </is>
      </c>
      <c r="D4" s="24" t="inlineStr">
        <is>
          <t>Qty</t>
        </is>
      </c>
      <c r="E4" s="24" t="inlineStr">
        <is>
          <t>Unit Price</t>
        </is>
      </c>
      <c r="F4" s="24" t="inlineStr">
        <is>
          <t>Markup %</t>
        </is>
      </c>
      <c r="G4" s="24" t="inlineStr">
        <is>
          <t>Price</t>
        </is>
      </c>
    </row>
    <row r="5">
      <c r="A5" s="25" t="inlineStr">
        <is>
          <t>UH-101   The Magnolia Residence</t>
        </is>
      </c>
    </row>
    <row r="6">
      <c r="A6" s="26" t="inlineStr">
        <is>
          <t>EXTERIOR</t>
        </is>
      </c>
    </row>
    <row r="7">
      <c r="A7" s="27" t="n">
        <v>1</v>
      </c>
      <c r="B7" s="28" t="inlineStr">
        <is>
          <t>EX-001</t>
        </is>
      </c>
      <c r="C7" s="29" t="inlineStr">
        <is>
          <t>James Hardie HardiePlank Lap – Arctic White</t>
        </is>
      </c>
      <c r="D7" s="30">
        <f>IF(Selections!H2="",1,Selections!H2)</f>
        <v/>
      </c>
      <c r="E7" s="31">
        <f>IF(Selections!R2="","",Selections!R2)</f>
        <v/>
      </c>
      <c r="F7" s="40">
        <f>IF(Selections!S2="","",Selections!S2)</f>
        <v/>
      </c>
      <c r="G7" s="31">
        <f>IF(ISNUMBER(E7),D7*E7*(1+IF(ISNUMBER(F7),F7,0)/100),"")</f>
        <v/>
      </c>
    </row>
    <row r="8">
      <c r="C8" s="32" t="inlineStr">
        <is>
          <t>Exterior subtotal</t>
        </is>
      </c>
      <c r="G8" s="33">
        <f>SUM(G7:G7)</f>
        <v/>
      </c>
    </row>
    <row r="9">
      <c r="A9" s="26" t="inlineStr">
        <is>
          <t>WINDOWS &amp; DOORS</t>
        </is>
      </c>
    </row>
    <row r="10">
      <c r="A10" s="27" t="n">
        <v>2</v>
      </c>
      <c r="B10" s="28" t="inlineStr">
        <is>
          <t>EX-002</t>
        </is>
      </c>
      <c r="C10" s="29" t="inlineStr">
        <is>
          <t>Therma-Tru S4108 – Black</t>
        </is>
      </c>
      <c r="D10" s="30">
        <f>IF(Selections!H3="",1,Selections!H3)</f>
        <v/>
      </c>
      <c r="E10" s="31">
        <f>IF(Selections!R3="","",Selections!R3)</f>
        <v/>
      </c>
      <c r="F10" s="40">
        <f>IF(Selections!S3="","",Selections!S3)</f>
        <v/>
      </c>
      <c r="G10" s="31">
        <f>IF(ISNUMBER(E10),D10*E10*(1+IF(ISNUMBER(F10),F10,0)/100),"")</f>
        <v/>
      </c>
    </row>
    <row r="11">
      <c r="C11" s="32" t="inlineStr">
        <is>
          <t>Windows &amp; Doors subtotal</t>
        </is>
      </c>
      <c r="G11" s="33">
        <f>SUM(G10:G10)</f>
        <v/>
      </c>
    </row>
    <row r="12">
      <c r="A12" s="26" t="inlineStr">
        <is>
          <t>KITCHEN</t>
        </is>
      </c>
    </row>
    <row r="13">
      <c r="A13" s="27" t="n">
        <v>3</v>
      </c>
      <c r="B13" s="28" t="inlineStr">
        <is>
          <t>EX-003</t>
        </is>
      </c>
      <c r="C13" s="29" t="inlineStr">
        <is>
          <t>Moen 7594ESRS – Spot Resist Stainless</t>
        </is>
      </c>
      <c r="D13" s="30">
        <f>IF(Selections!H4="",1,Selections!H4)</f>
        <v/>
      </c>
      <c r="E13" s="31">
        <f>IF(Selections!R4="","",Selections!R4)</f>
        <v/>
      </c>
      <c r="F13" s="40">
        <f>IF(Selections!S4="","",Selections!S4)</f>
        <v/>
      </c>
      <c r="G13" s="31">
        <f>IF(ISNUMBER(E13),D13*E13*(1+IF(ISNUMBER(F13),F13,0)/100),"")</f>
        <v/>
      </c>
    </row>
    <row r="14">
      <c r="C14" s="32" t="inlineStr">
        <is>
          <t>Kitchen subtotal</t>
        </is>
      </c>
      <c r="G14" s="33">
        <f>SUM(G13:G13)</f>
        <v/>
      </c>
    </row>
    <row r="15">
      <c r="A15" s="26" t="inlineStr">
        <is>
          <t>BATHROOMS</t>
        </is>
      </c>
    </row>
    <row r="16">
      <c r="A16" s="27" t="n">
        <v>4</v>
      </c>
      <c r="B16" s="28" t="inlineStr">
        <is>
          <t>EX-004</t>
        </is>
      </c>
      <c r="C16" s="29" t="inlineStr">
        <is>
          <t>Delta 559LF-PP – Chrome</t>
        </is>
      </c>
      <c r="D16" s="30">
        <f>IF(Selections!H5="",1,Selections!H5)</f>
        <v/>
      </c>
      <c r="E16" s="31">
        <f>IF(Selections!R5="","",Selections!R5)</f>
        <v/>
      </c>
      <c r="F16" s="40">
        <f>IF(Selections!S5="","",Selections!S5)</f>
        <v/>
      </c>
      <c r="G16" s="31">
        <f>IF(ISNUMBER(E16),D16*E16*(1+IF(ISNUMBER(F16),F16,0)/100),"")</f>
        <v/>
      </c>
    </row>
    <row r="17">
      <c r="C17" s="32" t="inlineStr">
        <is>
          <t>Bathrooms subtotal</t>
        </is>
      </c>
      <c r="G17" s="33">
        <f>SUM(G16:G16)</f>
        <v/>
      </c>
    </row>
    <row r="18">
      <c r="A18" s="26" t="inlineStr">
        <is>
          <t>PAINT</t>
        </is>
      </c>
    </row>
    <row r="19">
      <c r="A19" s="27" t="n">
        <v>5</v>
      </c>
      <c r="B19" s="28" t="inlineStr">
        <is>
          <t>EX-005</t>
        </is>
      </c>
      <c r="C19" s="29" t="inlineStr">
        <is>
          <t>Sherwin-Williams SW 7005 – Pure White</t>
        </is>
      </c>
      <c r="D19" s="30">
        <f>IF(Selections!H6="",1,Selections!H6)</f>
        <v/>
      </c>
      <c r="E19" s="31">
        <f>IF(Selections!R6="","",Selections!R6)</f>
        <v/>
      </c>
      <c r="F19" s="40">
        <f>IF(Selections!S6="","",Selections!S6)</f>
        <v/>
      </c>
      <c r="G19" s="31">
        <f>IF(ISNUMBER(E19),D19*E19*(1+IF(ISNUMBER(F19),F19,0)/100),"")</f>
        <v/>
      </c>
    </row>
    <row r="20">
      <c r="C20" s="32" t="inlineStr">
        <is>
          <t>Paint subtotal</t>
        </is>
      </c>
      <c r="G20" s="33">
        <f>SUM(G19:G19)</f>
        <v/>
      </c>
    </row>
    <row r="21">
      <c r="A21" s="26" t="inlineStr">
        <is>
          <t>1ST FLOOR</t>
        </is>
      </c>
    </row>
    <row r="22">
      <c r="A22" s="27" t="n">
        <v>6</v>
      </c>
      <c r="B22" s="28" t="inlineStr">
        <is>
          <t>EX-006</t>
        </is>
      </c>
      <c r="C22" s="29" t="inlineStr">
        <is>
          <t>Flooring</t>
        </is>
      </c>
      <c r="D22" s="30">
        <f>IF(Selections!H10="",1,Selections!H10)</f>
        <v/>
      </c>
      <c r="E22" s="31">
        <f>IF(Selections!R10="","",Selections!R10)</f>
        <v/>
      </c>
      <c r="F22" s="40">
        <f>IF(Selections!S10="","",Selections!S10)</f>
        <v/>
      </c>
      <c r="G22" s="31">
        <f>IF(ISNUMBER(E22),D22*E22*(1+IF(ISNUMBER(F22),F22,0)/100),"")</f>
        <v/>
      </c>
    </row>
    <row r="23">
      <c r="A23" s="27" t="n">
        <v>7</v>
      </c>
      <c r="B23" s="28" t="inlineStr">
        <is>
          <t>EX-007</t>
        </is>
      </c>
      <c r="C23" s="29" t="inlineStr">
        <is>
          <t>Fire place</t>
        </is>
      </c>
      <c r="D23" s="30">
        <f>IF(Selections!H11="",1,Selections!H11)</f>
        <v/>
      </c>
      <c r="E23" s="31">
        <f>IF(Selections!R11="","",Selections!R11)</f>
        <v/>
      </c>
      <c r="F23" s="40">
        <f>IF(Selections!S11="","",Selections!S11)</f>
        <v/>
      </c>
      <c r="G23" s="31">
        <f>IF(ISNUMBER(E23),D23*E23*(1+IF(ISNUMBER(F23),F23,0)/100),"")</f>
        <v/>
      </c>
    </row>
    <row r="24">
      <c r="A24" s="27" t="n">
        <v>8</v>
      </c>
      <c r="B24" s="28" t="inlineStr">
        <is>
          <t>EX-008</t>
        </is>
      </c>
      <c r="C24" s="29" t="inlineStr">
        <is>
          <t>Fire place - surround</t>
        </is>
      </c>
      <c r="D24" s="30">
        <f>IF(Selections!H12="",1,Selections!H12)</f>
        <v/>
      </c>
      <c r="E24" s="31">
        <f>IF(Selections!R12="","",Selections!R12)</f>
        <v/>
      </c>
      <c r="F24" s="40">
        <f>IF(Selections!S12="","",Selections!S12)</f>
        <v/>
      </c>
      <c r="G24" s="31">
        <f>IF(ISNUMBER(E24),D24*E24*(1+IF(ISNUMBER(F24),F24,0)/100),"")</f>
        <v/>
      </c>
    </row>
    <row r="25">
      <c r="A25" s="27" t="n">
        <v>9</v>
      </c>
      <c r="B25" s="28" t="inlineStr">
        <is>
          <t>EX-009</t>
        </is>
      </c>
      <c r="C25" s="29" t="inlineStr">
        <is>
          <t>Doors</t>
        </is>
      </c>
      <c r="D25" s="30">
        <f>IF(Selections!H13="",1,Selections!H13)</f>
        <v/>
      </c>
      <c r="E25" s="31">
        <f>IF(Selections!R13="","",Selections!R13)</f>
        <v/>
      </c>
      <c r="F25" s="40">
        <f>IF(Selections!S13="","",Selections!S13)</f>
        <v/>
      </c>
      <c r="G25" s="31">
        <f>IF(ISNUMBER(E25),D25*E25*(1+IF(ISNUMBER(F25),F25,0)/100),"")</f>
        <v/>
      </c>
    </row>
    <row r="26">
      <c r="A26" s="27" t="n">
        <v>10</v>
      </c>
      <c r="B26" s="28" t="inlineStr">
        <is>
          <t>EX-010</t>
        </is>
      </c>
      <c r="C26" s="29" t="inlineStr">
        <is>
          <t>Light Fixture - Fan</t>
        </is>
      </c>
      <c r="D26" s="30">
        <f>IF(Selections!H14="",1,Selections!H14)</f>
        <v/>
      </c>
      <c r="E26" s="31">
        <f>IF(Selections!R14="","",Selections!R14)</f>
        <v/>
      </c>
      <c r="F26" s="40">
        <f>IF(Selections!S14="","",Selections!S14)</f>
        <v/>
      </c>
      <c r="G26" s="31">
        <f>IF(ISNUMBER(E26),D26*E26*(1+IF(ISNUMBER(F26),F26,0)/100),"")</f>
        <v/>
      </c>
    </row>
    <row r="27">
      <c r="A27" s="27" t="n">
        <v>11</v>
      </c>
      <c r="B27" s="28" t="inlineStr">
        <is>
          <t>EX-011</t>
        </is>
      </c>
      <c r="C27" s="29" t="inlineStr">
        <is>
          <t>Wine Cellar/ Dry Bar</t>
        </is>
      </c>
      <c r="D27" s="30">
        <f>IF(Selections!H15="",1,Selections!H15)</f>
        <v/>
      </c>
      <c r="E27" s="31">
        <f>IF(Selections!R15="","",Selections!R15)</f>
        <v/>
      </c>
      <c r="F27" s="40">
        <f>IF(Selections!S15="","",Selections!S15)</f>
        <v/>
      </c>
      <c r="G27" s="31">
        <f>IF(ISNUMBER(E27),D27*E27*(1+IF(ISNUMBER(F27),F27,0)/100),"")</f>
        <v/>
      </c>
    </row>
    <row r="28">
      <c r="A28" s="27" t="n">
        <v>12</v>
      </c>
      <c r="B28" s="28" t="inlineStr">
        <is>
          <t>EX-012</t>
        </is>
      </c>
      <c r="C28" s="29" t="inlineStr">
        <is>
          <t>Flooring</t>
        </is>
      </c>
      <c r="D28" s="30">
        <f>IF(Selections!H16="",1,Selections!H16)</f>
        <v/>
      </c>
      <c r="E28" s="31">
        <f>IF(Selections!R16="","",Selections!R16)</f>
        <v/>
      </c>
      <c r="F28" s="40">
        <f>IF(Selections!S16="","",Selections!S16)</f>
        <v/>
      </c>
      <c r="G28" s="31">
        <f>IF(ISNUMBER(E28),D28*E28*(1+IF(ISNUMBER(F28),F28,0)/100),"")</f>
        <v/>
      </c>
    </row>
    <row r="29">
      <c r="A29" s="27" t="n">
        <v>13</v>
      </c>
      <c r="B29" s="28" t="inlineStr">
        <is>
          <t>EX-013</t>
        </is>
      </c>
      <c r="C29" s="29" t="inlineStr">
        <is>
          <t>Counter top</t>
        </is>
      </c>
      <c r="D29" s="30">
        <f>IF(Selections!H17="",1,Selections!H17)</f>
        <v/>
      </c>
      <c r="E29" s="31">
        <f>IF(Selections!R17="","",Selections!R17)</f>
        <v/>
      </c>
      <c r="F29" s="40">
        <f>IF(Selections!S17="","",Selections!S17)</f>
        <v/>
      </c>
      <c r="G29" s="31">
        <f>IF(ISNUMBER(E29),D29*E29*(1+IF(ISNUMBER(F29),F29,0)/100),"")</f>
        <v/>
      </c>
    </row>
    <row r="30">
      <c r="A30" s="27" t="n">
        <v>14</v>
      </c>
      <c r="B30" s="28" t="inlineStr">
        <is>
          <t>EX-014</t>
        </is>
      </c>
      <c r="C30" s="29" t="inlineStr">
        <is>
          <t>Backsplash</t>
        </is>
      </c>
      <c r="D30" s="30">
        <f>IF(Selections!H18="",1,Selections!H18)</f>
        <v/>
      </c>
      <c r="E30" s="31">
        <f>IF(Selections!R18="","",Selections!R18)</f>
        <v/>
      </c>
      <c r="F30" s="40">
        <f>IF(Selections!S18="","",Selections!S18)</f>
        <v/>
      </c>
      <c r="G30" s="31">
        <f>IF(ISNUMBER(E30),D30*E30*(1+IF(ISNUMBER(F30),F30,0)/100),"")</f>
        <v/>
      </c>
    </row>
    <row r="31">
      <c r="A31" s="27" t="n">
        <v>15</v>
      </c>
      <c r="B31" s="28" t="inlineStr">
        <is>
          <t>EX-015</t>
        </is>
      </c>
      <c r="C31" s="29" t="inlineStr">
        <is>
          <t>Coffee bar</t>
        </is>
      </c>
      <c r="D31" s="30">
        <f>IF(Selections!H19="",1,Selections!H19)</f>
        <v/>
      </c>
      <c r="E31" s="31">
        <f>IF(Selections!R19="","",Selections!R19)</f>
        <v/>
      </c>
      <c r="F31" s="40">
        <f>IF(Selections!S19="","",Selections!S19)</f>
        <v/>
      </c>
      <c r="G31" s="31">
        <f>IF(ISNUMBER(E31),D31*E31*(1+IF(ISNUMBER(F31),F31,0)/100),"")</f>
        <v/>
      </c>
    </row>
    <row r="32">
      <c r="A32" s="27" t="n">
        <v>16</v>
      </c>
      <c r="B32" s="28" t="inlineStr">
        <is>
          <t>EX-016</t>
        </is>
      </c>
      <c r="C32" s="29" t="inlineStr">
        <is>
          <t>Backsplash - Coffee bar</t>
        </is>
      </c>
      <c r="D32" s="30">
        <f>IF(Selections!H20="",1,Selections!H20)</f>
        <v/>
      </c>
      <c r="E32" s="31">
        <f>IF(Selections!R20="","",Selections!R20)</f>
        <v/>
      </c>
      <c r="F32" s="40">
        <f>IF(Selections!S20="","",Selections!S20)</f>
        <v/>
      </c>
      <c r="G32" s="31">
        <f>IF(ISNUMBER(E32),D32*E32*(1+IF(ISNUMBER(F32),F32,0)/100),"")</f>
        <v/>
      </c>
    </row>
    <row r="33">
      <c r="A33" s="27" t="n">
        <v>17</v>
      </c>
      <c r="B33" s="28" t="inlineStr">
        <is>
          <t>EX-017</t>
        </is>
      </c>
      <c r="C33" s="29" t="inlineStr">
        <is>
          <t>Venthood</t>
        </is>
      </c>
      <c r="D33" s="30">
        <f>IF(Selections!H21="",1,Selections!H21)</f>
        <v/>
      </c>
      <c r="E33" s="31">
        <f>IF(Selections!R21="","",Selections!R21)</f>
        <v/>
      </c>
      <c r="F33" s="40">
        <f>IF(Selections!S21="","",Selections!S21)</f>
        <v/>
      </c>
      <c r="G33" s="31">
        <f>IF(ISNUMBER(E33),D33*E33*(1+IF(ISNUMBER(F33),F33,0)/100),"")</f>
        <v/>
      </c>
    </row>
    <row r="34">
      <c r="A34" s="27" t="n">
        <v>18</v>
      </c>
      <c r="B34" s="28" t="inlineStr">
        <is>
          <t>EX-018</t>
        </is>
      </c>
      <c r="C34" s="29" t="inlineStr">
        <is>
          <t>Cooktop/range</t>
        </is>
      </c>
      <c r="D34" s="30">
        <f>IF(Selections!H22="",1,Selections!H22)</f>
        <v/>
      </c>
      <c r="E34" s="31">
        <f>IF(Selections!R22="","",Selections!R22)</f>
        <v/>
      </c>
      <c r="F34" s="40">
        <f>IF(Selections!S22="","",Selections!S22)</f>
        <v/>
      </c>
      <c r="G34" s="31">
        <f>IF(ISNUMBER(E34),D34*E34*(1+IF(ISNUMBER(F34),F34,0)/100),"")</f>
        <v/>
      </c>
    </row>
    <row r="35">
      <c r="A35" s="27" t="n">
        <v>19</v>
      </c>
      <c r="B35" s="28" t="inlineStr">
        <is>
          <t>EX-019</t>
        </is>
      </c>
      <c r="C35" s="29" t="inlineStr">
        <is>
          <t>Microwave</t>
        </is>
      </c>
      <c r="D35" s="30">
        <f>IF(Selections!H23="",1,Selections!H23)</f>
        <v/>
      </c>
      <c r="E35" s="31">
        <f>IF(Selections!R23="","",Selections!R23)</f>
        <v/>
      </c>
      <c r="F35" s="40">
        <f>IF(Selections!S23="","",Selections!S23)</f>
        <v/>
      </c>
      <c r="G35" s="31">
        <f>IF(ISNUMBER(E35),D35*E35*(1+IF(ISNUMBER(F35),F35,0)/100),"")</f>
        <v/>
      </c>
    </row>
    <row r="36">
      <c r="A36" s="27" t="n">
        <v>20</v>
      </c>
      <c r="B36" s="28" t="inlineStr">
        <is>
          <t>EX-020</t>
        </is>
      </c>
      <c r="C36" s="29" t="inlineStr">
        <is>
          <t>Dishwasher</t>
        </is>
      </c>
      <c r="D36" s="30">
        <f>IF(Selections!H24="",1,Selections!H24)</f>
        <v/>
      </c>
      <c r="E36" s="31">
        <f>IF(Selections!R24="","",Selections!R24)</f>
        <v/>
      </c>
      <c r="F36" s="40">
        <f>IF(Selections!S24="","",Selections!S24)</f>
        <v/>
      </c>
      <c r="G36" s="31">
        <f>IF(ISNUMBER(E36),D36*E36*(1+IF(ISNUMBER(F36),F36,0)/100),"")</f>
        <v/>
      </c>
    </row>
    <row r="37">
      <c r="A37" s="27" t="n">
        <v>21</v>
      </c>
      <c r="B37" s="28" t="inlineStr">
        <is>
          <t>EX-021</t>
        </is>
      </c>
      <c r="C37" s="29" t="inlineStr">
        <is>
          <t>Wall oven</t>
        </is>
      </c>
      <c r="D37" s="30">
        <f>IF(Selections!H25="",1,Selections!H25)</f>
        <v/>
      </c>
      <c r="E37" s="31">
        <f>IF(Selections!R25="","",Selections!R25)</f>
        <v/>
      </c>
      <c r="F37" s="40">
        <f>IF(Selections!S25="","",Selections!S25)</f>
        <v/>
      </c>
      <c r="G37" s="31">
        <f>IF(ISNUMBER(E37),D37*E37*(1+IF(ISNUMBER(F37),F37,0)/100),"")</f>
        <v/>
      </c>
    </row>
    <row r="38">
      <c r="A38" s="27" t="n">
        <v>22</v>
      </c>
      <c r="B38" s="28" t="inlineStr">
        <is>
          <t>EX-022</t>
        </is>
      </c>
      <c r="C38" s="29" t="inlineStr">
        <is>
          <t>Trash Pullout</t>
        </is>
      </c>
      <c r="D38" s="30">
        <f>IF(Selections!H26="",1,Selections!H26)</f>
        <v/>
      </c>
      <c r="E38" s="31">
        <f>IF(Selections!R26="","",Selections!R26)</f>
        <v/>
      </c>
      <c r="F38" s="40">
        <f>IF(Selections!S26="","",Selections!S26)</f>
        <v/>
      </c>
      <c r="G38" s="31">
        <f>IF(ISNUMBER(E38),D38*E38*(1+IF(ISNUMBER(F38),F38,0)/100),"")</f>
        <v/>
      </c>
    </row>
    <row r="39">
      <c r="A39" s="27" t="n">
        <v>23</v>
      </c>
      <c r="B39" s="28" t="inlineStr">
        <is>
          <t>EX-023</t>
        </is>
      </c>
      <c r="C39" s="29" t="inlineStr">
        <is>
          <t>Kitchen Sink</t>
        </is>
      </c>
      <c r="D39" s="30">
        <f>IF(Selections!H27="",1,Selections!H27)</f>
        <v/>
      </c>
      <c r="E39" s="31">
        <f>IF(Selections!R27="","",Selections!R27)</f>
        <v/>
      </c>
      <c r="F39" s="40">
        <f>IF(Selections!S27="","",Selections!S27)</f>
        <v/>
      </c>
      <c r="G39" s="31">
        <f>IF(ISNUMBER(E39),D39*E39*(1+IF(ISNUMBER(F39),F39,0)/100),"")</f>
        <v/>
      </c>
    </row>
    <row r="40">
      <c r="A40" s="27" t="n">
        <v>24</v>
      </c>
      <c r="B40" s="28" t="inlineStr">
        <is>
          <t>EX-024</t>
        </is>
      </c>
      <c r="C40" s="29" t="inlineStr">
        <is>
          <t>Kitchen Faucet</t>
        </is>
      </c>
      <c r="D40" s="30">
        <f>IF(Selections!H28="",1,Selections!H28)</f>
        <v/>
      </c>
      <c r="E40" s="31">
        <f>IF(Selections!R28="","",Selections!R28)</f>
        <v/>
      </c>
      <c r="F40" s="40">
        <f>IF(Selections!S28="","",Selections!S28)</f>
        <v/>
      </c>
      <c r="G40" s="31">
        <f>IF(ISNUMBER(E40),D40*E40*(1+IF(ISNUMBER(F40),F40,0)/100),"")</f>
        <v/>
      </c>
    </row>
    <row r="41">
      <c r="A41" s="27" t="n">
        <v>25</v>
      </c>
      <c r="B41" s="28" t="inlineStr">
        <is>
          <t>EX-025</t>
        </is>
      </c>
      <c r="C41" s="29" t="inlineStr">
        <is>
          <t>Kitchen Pendants</t>
        </is>
      </c>
      <c r="D41" s="30">
        <f>IF(Selections!H29="",1,Selections!H29)</f>
        <v/>
      </c>
      <c r="E41" s="31">
        <f>IF(Selections!R29="","",Selections!R29)</f>
        <v/>
      </c>
      <c r="F41" s="40">
        <f>IF(Selections!S29="","",Selections!S29)</f>
        <v/>
      </c>
      <c r="G41" s="31">
        <f>IF(ISNUMBER(E41),D41*E41*(1+IF(ISNUMBER(F41),F41,0)/100),"")</f>
        <v/>
      </c>
    </row>
    <row r="42">
      <c r="A42" s="27" t="n">
        <v>26</v>
      </c>
      <c r="B42" s="28" t="inlineStr">
        <is>
          <t>EX-026</t>
        </is>
      </c>
      <c r="C42" s="29" t="inlineStr">
        <is>
          <t>Flooring</t>
        </is>
      </c>
      <c r="D42" s="30">
        <f>IF(Selections!H30="",1,Selections!H30)</f>
        <v/>
      </c>
      <c r="E42" s="31">
        <f>IF(Selections!R30="","",Selections!R30)</f>
        <v/>
      </c>
      <c r="F42" s="40">
        <f>IF(Selections!S30="","",Selections!S30)</f>
        <v/>
      </c>
      <c r="G42" s="31">
        <f>IF(ISNUMBER(E42),D42*E42*(1+IF(ISNUMBER(F42),F42,0)/100),"")</f>
        <v/>
      </c>
    </row>
    <row r="43">
      <c r="A43" s="27" t="n">
        <v>27</v>
      </c>
      <c r="B43" s="28" t="inlineStr">
        <is>
          <t>EX-027</t>
        </is>
      </c>
      <c r="C43" s="29" t="inlineStr">
        <is>
          <t>Breakfast Chandelier</t>
        </is>
      </c>
      <c r="D43" s="30">
        <f>IF(Selections!H31="",1,Selections!H31)</f>
        <v/>
      </c>
      <c r="E43" s="31">
        <f>IF(Selections!R31="","",Selections!R31)</f>
        <v/>
      </c>
      <c r="F43" s="40">
        <f>IF(Selections!S31="","",Selections!S31)</f>
        <v/>
      </c>
      <c r="G43" s="31">
        <f>IF(ISNUMBER(E43),D43*E43*(1+IF(ISNUMBER(F43),F43,0)/100),"")</f>
        <v/>
      </c>
    </row>
    <row r="44">
      <c r="A44" s="27" t="n">
        <v>28</v>
      </c>
      <c r="B44" s="28" t="inlineStr">
        <is>
          <t>EX-028</t>
        </is>
      </c>
      <c r="C44" s="29" t="inlineStr">
        <is>
          <t>Exterior Door</t>
        </is>
      </c>
      <c r="D44" s="30">
        <f>IF(Selections!H32="",1,Selections!H32)</f>
        <v/>
      </c>
      <c r="E44" s="31">
        <f>IF(Selections!R32="","",Selections!R32)</f>
        <v/>
      </c>
      <c r="F44" s="40">
        <f>IF(Selections!S32="","",Selections!S32)</f>
        <v/>
      </c>
      <c r="G44" s="31">
        <f>IF(ISNUMBER(E44),D44*E44*(1+IF(ISNUMBER(F44),F44,0)/100),"")</f>
        <v/>
      </c>
    </row>
    <row r="45">
      <c r="A45" s="27" t="n">
        <v>29</v>
      </c>
      <c r="B45" s="28" t="inlineStr">
        <is>
          <t>EX-029</t>
        </is>
      </c>
      <c r="C45" s="29" t="inlineStr">
        <is>
          <t>Door Stopper</t>
        </is>
      </c>
      <c r="D45" s="30">
        <f>IF(Selections!H33="",1,Selections!H33)</f>
        <v/>
      </c>
      <c r="E45" s="31">
        <f>IF(Selections!R33="","",Selections!R33)</f>
        <v/>
      </c>
      <c r="F45" s="40">
        <f>IF(Selections!S33="","",Selections!S33)</f>
        <v/>
      </c>
      <c r="G45" s="31">
        <f>IF(ISNUMBER(E45),D45*E45*(1+IF(ISNUMBER(F45),F45,0)/100),"")</f>
        <v/>
      </c>
    </row>
    <row r="46">
      <c r="A46" s="27" t="n">
        <v>30</v>
      </c>
      <c r="B46" s="28" t="inlineStr">
        <is>
          <t>EX-030</t>
        </is>
      </c>
      <c r="C46" s="29" t="inlineStr">
        <is>
          <t>Flooring</t>
        </is>
      </c>
      <c r="D46" s="30">
        <f>IF(Selections!H34="",1,Selections!H34)</f>
        <v/>
      </c>
      <c r="E46" s="31">
        <f>IF(Selections!R34="","",Selections!R34)</f>
        <v/>
      </c>
      <c r="F46" s="40">
        <f>IF(Selections!S34="","",Selections!S34)</f>
        <v/>
      </c>
      <c r="G46" s="31">
        <f>IF(ISNUMBER(E46),D46*E46*(1+IF(ISNUMBER(F46),F46,0)/100),"")</f>
        <v/>
      </c>
    </row>
    <row r="47">
      <c r="A47" s="27" t="n">
        <v>31</v>
      </c>
      <c r="B47" s="28" t="inlineStr">
        <is>
          <t>EX-031</t>
        </is>
      </c>
      <c r="C47" s="29" t="inlineStr">
        <is>
          <t>Light Fixture - Fan</t>
        </is>
      </c>
      <c r="D47" s="30">
        <f>IF(Selections!H35="",1,Selections!H35)</f>
        <v/>
      </c>
      <c r="E47" s="31">
        <f>IF(Selections!R35="","",Selections!R35)</f>
        <v/>
      </c>
      <c r="F47" s="40">
        <f>IF(Selections!S35="","",Selections!S35)</f>
        <v/>
      </c>
      <c r="G47" s="31">
        <f>IF(ISNUMBER(E47),D47*E47*(1+IF(ISNUMBER(F47),F47,0)/100),"")</f>
        <v/>
      </c>
    </row>
    <row r="48">
      <c r="A48" s="27" t="n">
        <v>32</v>
      </c>
      <c r="B48" s="28" t="inlineStr">
        <is>
          <t>EX-032</t>
        </is>
      </c>
      <c r="C48" s="29" t="inlineStr">
        <is>
          <t>Exterior Door</t>
        </is>
      </c>
      <c r="D48" s="30">
        <f>IF(Selections!H36="",1,Selections!H36)</f>
        <v/>
      </c>
      <c r="E48" s="31">
        <f>IF(Selections!R36="","",Selections!R36)</f>
        <v/>
      </c>
      <c r="F48" s="40">
        <f>IF(Selections!S36="","",Selections!S36)</f>
        <v/>
      </c>
      <c r="G48" s="31">
        <f>IF(ISNUMBER(E48),D48*E48*(1+IF(ISNUMBER(F48),F48,0)/100),"")</f>
        <v/>
      </c>
    </row>
    <row r="49">
      <c r="A49" s="27" t="n">
        <v>33</v>
      </c>
      <c r="B49" s="28" t="inlineStr">
        <is>
          <t>EX-033</t>
        </is>
      </c>
      <c r="C49" s="29" t="inlineStr">
        <is>
          <t>Door Stopper</t>
        </is>
      </c>
      <c r="D49" s="30">
        <f>IF(Selections!H37="",1,Selections!H37)</f>
        <v/>
      </c>
      <c r="E49" s="31">
        <f>IF(Selections!R37="","",Selections!R37)</f>
        <v/>
      </c>
      <c r="F49" s="40">
        <f>IF(Selections!S37="","",Selections!S37)</f>
        <v/>
      </c>
      <c r="G49" s="31">
        <f>IF(ISNUMBER(E49),D49*E49*(1+IF(ISNUMBER(F49),F49,0)/100),"")</f>
        <v/>
      </c>
    </row>
    <row r="50">
      <c r="A50" s="27" t="n">
        <v>34</v>
      </c>
      <c r="B50" s="28" t="inlineStr">
        <is>
          <t>EX-034</t>
        </is>
      </c>
      <c r="C50" s="29" t="inlineStr">
        <is>
          <t>Flooring</t>
        </is>
      </c>
      <c r="D50" s="30">
        <f>IF(Selections!H38="",1,Selections!H38)</f>
        <v/>
      </c>
      <c r="E50" s="31">
        <f>IF(Selections!R38="","",Selections!R38)</f>
        <v/>
      </c>
      <c r="F50" s="40">
        <f>IF(Selections!S38="","",Selections!S38)</f>
        <v/>
      </c>
      <c r="G50" s="31">
        <f>IF(ISNUMBER(E50),D50*E50*(1+IF(ISNUMBER(F50),F50,0)/100),"")</f>
        <v/>
      </c>
    </row>
    <row r="51">
      <c r="A51" s="27" t="n">
        <v>35</v>
      </c>
      <c r="B51" s="28" t="inlineStr">
        <is>
          <t>EX-035</t>
        </is>
      </c>
      <c r="C51" s="29" t="inlineStr">
        <is>
          <t>Light Fixture - Fan</t>
        </is>
      </c>
      <c r="D51" s="30">
        <f>IF(Selections!H39="",1,Selections!H39)</f>
        <v/>
      </c>
      <c r="E51" s="31">
        <f>IF(Selections!R39="","",Selections!R39)</f>
        <v/>
      </c>
      <c r="F51" s="40">
        <f>IF(Selections!S39="","",Selections!S39)</f>
        <v/>
      </c>
      <c r="G51" s="31">
        <f>IF(ISNUMBER(E51),D51*E51*(1+IF(ISNUMBER(F51),F51,0)/100),"")</f>
        <v/>
      </c>
    </row>
    <row r="52">
      <c r="A52" s="27" t="n">
        <v>36</v>
      </c>
      <c r="B52" s="28" t="inlineStr">
        <is>
          <t>EX-036</t>
        </is>
      </c>
      <c r="C52" s="29" t="inlineStr">
        <is>
          <t>Doors - Interior</t>
        </is>
      </c>
      <c r="D52" s="30">
        <f>IF(Selections!H40="",1,Selections!H40)</f>
        <v/>
      </c>
      <c r="E52" s="31">
        <f>IF(Selections!R40="","",Selections!R40)</f>
        <v/>
      </c>
      <c r="F52" s="40">
        <f>IF(Selections!S40="","",Selections!S40)</f>
        <v/>
      </c>
      <c r="G52" s="31">
        <f>IF(ISNUMBER(E52),D52*E52*(1+IF(ISNUMBER(F52),F52,0)/100),"")</f>
        <v/>
      </c>
    </row>
    <row r="53">
      <c r="A53" s="27" t="n">
        <v>37</v>
      </c>
      <c r="B53" s="28" t="inlineStr">
        <is>
          <t>EX-037</t>
        </is>
      </c>
      <c r="C53" s="29" t="inlineStr">
        <is>
          <t>Door Stopper</t>
        </is>
      </c>
      <c r="D53" s="30">
        <f>IF(Selections!H41="",1,Selections!H41)</f>
        <v/>
      </c>
      <c r="E53" s="31">
        <f>IF(Selections!R41="","",Selections!R41)</f>
        <v/>
      </c>
      <c r="F53" s="40">
        <f>IF(Selections!S41="","",Selections!S41)</f>
        <v/>
      </c>
      <c r="G53" s="31">
        <f>IF(ISNUMBER(E53),D53*E53*(1+IF(ISNUMBER(F53),F53,0)/100),"")</f>
        <v/>
      </c>
    </row>
    <row r="54">
      <c r="A54" s="27" t="n">
        <v>38</v>
      </c>
      <c r="B54" s="28" t="inlineStr">
        <is>
          <t>EX-038</t>
        </is>
      </c>
      <c r="C54" s="29" t="inlineStr">
        <is>
          <t>Bookcase</t>
        </is>
      </c>
      <c r="D54" s="30">
        <f>IF(Selections!H42="",1,Selections!H42)</f>
        <v/>
      </c>
      <c r="E54" s="31">
        <f>IF(Selections!R42="","",Selections!R42)</f>
        <v/>
      </c>
      <c r="F54" s="40">
        <f>IF(Selections!S42="","",Selections!S42)</f>
        <v/>
      </c>
      <c r="G54" s="31">
        <f>IF(ISNUMBER(E54),D54*E54*(1+IF(ISNUMBER(F54),F54,0)/100),"")</f>
        <v/>
      </c>
    </row>
    <row r="55">
      <c r="A55" s="27" t="n">
        <v>39</v>
      </c>
      <c r="B55" s="28" t="inlineStr">
        <is>
          <t>EX-039</t>
        </is>
      </c>
      <c r="C55" s="29" t="inlineStr">
        <is>
          <t>Flooring</t>
        </is>
      </c>
      <c r="D55" s="30">
        <f>IF(Selections!H43="",1,Selections!H43)</f>
        <v/>
      </c>
      <c r="E55" s="31">
        <f>IF(Selections!R43="","",Selections!R43)</f>
        <v/>
      </c>
      <c r="F55" s="40">
        <f>IF(Selections!S43="","",Selections!S43)</f>
        <v/>
      </c>
      <c r="G55" s="31">
        <f>IF(ISNUMBER(E55),D55*E55*(1+IF(ISNUMBER(F55),F55,0)/100),"")</f>
        <v/>
      </c>
    </row>
    <row r="56">
      <c r="A56" s="27" t="n">
        <v>40</v>
      </c>
      <c r="B56" s="28" t="inlineStr">
        <is>
          <t>EX-040</t>
        </is>
      </c>
      <c r="C56" s="29" t="inlineStr">
        <is>
          <t>Light Fixture - Prayer</t>
        </is>
      </c>
      <c r="D56" s="30">
        <f>IF(Selections!H44="",1,Selections!H44)</f>
        <v/>
      </c>
      <c r="E56" s="31">
        <f>IF(Selections!R44="","",Selections!R44)</f>
        <v/>
      </c>
      <c r="F56" s="40">
        <f>IF(Selections!S44="","",Selections!S44)</f>
        <v/>
      </c>
      <c r="G56" s="31">
        <f>IF(ISNUMBER(E56),D56*E56*(1+IF(ISNUMBER(F56),F56,0)/100),"")</f>
        <v/>
      </c>
    </row>
    <row r="57">
      <c r="A57" s="27" t="n">
        <v>41</v>
      </c>
      <c r="B57" s="28" t="inlineStr">
        <is>
          <t>EX-041</t>
        </is>
      </c>
      <c r="C57" s="29" t="inlineStr">
        <is>
          <t>Interior Door</t>
        </is>
      </c>
      <c r="D57" s="30">
        <f>IF(Selections!H45="",1,Selections!H45)</f>
        <v/>
      </c>
      <c r="E57" s="31">
        <f>IF(Selections!R45="","",Selections!R45)</f>
        <v/>
      </c>
      <c r="F57" s="40">
        <f>IF(Selections!S45="","",Selections!S45)</f>
        <v/>
      </c>
      <c r="G57" s="31">
        <f>IF(ISNUMBER(E57),D57*E57*(1+IF(ISNUMBER(F57),F57,0)/100),"")</f>
        <v/>
      </c>
    </row>
    <row r="58">
      <c r="A58" s="27" t="n">
        <v>42</v>
      </c>
      <c r="B58" s="28" t="inlineStr">
        <is>
          <t>EX-042</t>
        </is>
      </c>
      <c r="C58" s="29" t="inlineStr">
        <is>
          <t>Door Stopper</t>
        </is>
      </c>
      <c r="D58" s="30">
        <f>IF(Selections!H46="",1,Selections!H46)</f>
        <v/>
      </c>
      <c r="E58" s="31">
        <f>IF(Selections!R46="","",Selections!R46)</f>
        <v/>
      </c>
      <c r="F58" s="40">
        <f>IF(Selections!S46="","",Selections!S46)</f>
        <v/>
      </c>
      <c r="G58" s="31">
        <f>IF(ISNUMBER(E58),D58*E58*(1+IF(ISNUMBER(F58),F58,0)/100),"")</f>
        <v/>
      </c>
    </row>
    <row r="59">
      <c r="A59" s="27" t="n">
        <v>43</v>
      </c>
      <c r="B59" s="28" t="inlineStr">
        <is>
          <t>EX-043</t>
        </is>
      </c>
      <c r="C59" s="29" t="inlineStr">
        <is>
          <t>Flooring</t>
        </is>
      </c>
      <c r="D59" s="30">
        <f>IF(Selections!H47="",1,Selections!H47)</f>
        <v/>
      </c>
      <c r="E59" s="31">
        <f>IF(Selections!R47="","",Selections!R47)</f>
        <v/>
      </c>
      <c r="F59" s="40">
        <f>IF(Selections!S47="","",Selections!S47)</f>
        <v/>
      </c>
      <c r="G59" s="31">
        <f>IF(ISNUMBER(E59),D59*E59*(1+IF(ISNUMBER(F59),F59,0)/100),"")</f>
        <v/>
      </c>
    </row>
    <row r="60">
      <c r="A60" s="27" t="n">
        <v>44</v>
      </c>
      <c r="B60" s="28" t="inlineStr">
        <is>
          <t>EX-044</t>
        </is>
      </c>
      <c r="C60" s="29" t="inlineStr">
        <is>
          <t>Staircase</t>
        </is>
      </c>
      <c r="D60" s="30">
        <f>IF(Selections!H48="",1,Selections!H48)</f>
        <v/>
      </c>
      <c r="E60" s="31">
        <f>IF(Selections!R48="","",Selections!R48)</f>
        <v/>
      </c>
      <c r="F60" s="40">
        <f>IF(Selections!S48="","",Selections!S48)</f>
        <v/>
      </c>
      <c r="G60" s="31">
        <f>IF(ISNUMBER(E60),D60*E60*(1+IF(ISNUMBER(F60),F60,0)/100),"")</f>
        <v/>
      </c>
    </row>
    <row r="61">
      <c r="A61" s="27" t="n">
        <v>45</v>
      </c>
      <c r="B61" s="28" t="inlineStr">
        <is>
          <t>EX-045</t>
        </is>
      </c>
      <c r="C61" s="29" t="inlineStr">
        <is>
          <t>Light Fixture - Foyer</t>
        </is>
      </c>
      <c r="D61" s="30">
        <f>IF(Selections!H49="",1,Selections!H49)</f>
        <v/>
      </c>
      <c r="E61" s="31">
        <f>IF(Selections!R49="","",Selections!R49)</f>
        <v/>
      </c>
      <c r="F61" s="40">
        <f>IF(Selections!S49="","",Selections!S49)</f>
        <v/>
      </c>
      <c r="G61" s="31">
        <f>IF(ISNUMBER(E61),D61*E61*(1+IF(ISNUMBER(F61),F61,0)/100),"")</f>
        <v/>
      </c>
    </row>
    <row r="62">
      <c r="A62" s="27" t="n">
        <v>46</v>
      </c>
      <c r="B62" s="28" t="inlineStr">
        <is>
          <t>EX-046</t>
        </is>
      </c>
      <c r="C62" s="29" t="inlineStr">
        <is>
          <t>Front Door - Exterior</t>
        </is>
      </c>
      <c r="D62" s="30">
        <f>IF(Selections!H50="",1,Selections!H50)</f>
        <v/>
      </c>
      <c r="E62" s="31">
        <f>IF(Selections!R50="","",Selections!R50)</f>
        <v/>
      </c>
      <c r="F62" s="40">
        <f>IF(Selections!S50="","",Selections!S50)</f>
        <v/>
      </c>
      <c r="G62" s="31">
        <f>IF(ISNUMBER(E62),D62*E62*(1+IF(ISNUMBER(F62),F62,0)/100),"")</f>
        <v/>
      </c>
    </row>
    <row r="63">
      <c r="A63" s="27" t="n">
        <v>47</v>
      </c>
      <c r="B63" s="28" t="inlineStr">
        <is>
          <t>EX-047</t>
        </is>
      </c>
      <c r="C63" s="29" t="inlineStr">
        <is>
          <t>Flooring</t>
        </is>
      </c>
      <c r="D63" s="30">
        <f>IF(Selections!H51="",1,Selections!H51)</f>
        <v/>
      </c>
      <c r="E63" s="31">
        <f>IF(Selections!R51="","",Selections!R51)</f>
        <v/>
      </c>
      <c r="F63" s="40">
        <f>IF(Selections!S51="","",Selections!S51)</f>
        <v/>
      </c>
      <c r="G63" s="31">
        <f>IF(ISNUMBER(E63),D63*E63*(1+IF(ISNUMBER(F63),F63,0)/100),"")</f>
        <v/>
      </c>
    </row>
    <row r="64">
      <c r="A64" s="27" t="n">
        <v>48</v>
      </c>
      <c r="B64" s="28" t="inlineStr">
        <is>
          <t>EX-048</t>
        </is>
      </c>
      <c r="C64" s="29" t="inlineStr">
        <is>
          <t>Counter top</t>
        </is>
      </c>
      <c r="D64" s="30">
        <f>IF(Selections!H52="",1,Selections!H52)</f>
        <v/>
      </c>
      <c r="E64" s="31">
        <f>IF(Selections!R52="","",Selections!R52)</f>
        <v/>
      </c>
      <c r="F64" s="40">
        <f>IF(Selections!S52="","",Selections!S52)</f>
        <v/>
      </c>
      <c r="G64" s="31">
        <f>IF(ISNUMBER(E64),D64*E64*(1+IF(ISNUMBER(F64),F64,0)/100),"")</f>
        <v/>
      </c>
    </row>
    <row r="65">
      <c r="A65" s="27" t="n">
        <v>49</v>
      </c>
      <c r="B65" s="28" t="inlineStr">
        <is>
          <t>EX-049</t>
        </is>
      </c>
      <c r="C65" s="29" t="inlineStr">
        <is>
          <t>Bathroom Sink</t>
        </is>
      </c>
      <c r="D65" s="30">
        <f>IF(Selections!H53="",1,Selections!H53)</f>
        <v/>
      </c>
      <c r="E65" s="31">
        <f>IF(Selections!R53="","",Selections!R53)</f>
        <v/>
      </c>
      <c r="F65" s="40">
        <f>IF(Selections!S53="","",Selections!S53)</f>
        <v/>
      </c>
      <c r="G65" s="31">
        <f>IF(ISNUMBER(E65),D65*E65*(1+IF(ISNUMBER(F65),F65,0)/100),"")</f>
        <v/>
      </c>
    </row>
    <row r="66">
      <c r="A66" s="27" t="n">
        <v>50</v>
      </c>
      <c r="B66" s="28" t="inlineStr">
        <is>
          <t>EX-050</t>
        </is>
      </c>
      <c r="C66" s="29" t="inlineStr">
        <is>
          <t>Sink Faucet</t>
        </is>
      </c>
      <c r="D66" s="30">
        <f>IF(Selections!H54="",1,Selections!H54)</f>
        <v/>
      </c>
      <c r="E66" s="31">
        <f>IF(Selections!R54="","",Selections!R54)</f>
        <v/>
      </c>
      <c r="F66" s="40">
        <f>IF(Selections!S54="","",Selections!S54)</f>
        <v/>
      </c>
      <c r="G66" s="31">
        <f>IF(ISNUMBER(E66),D66*E66*(1+IF(ISNUMBER(F66),F66,0)/100),"")</f>
        <v/>
      </c>
    </row>
    <row r="67">
      <c r="A67" s="27" t="n">
        <v>51</v>
      </c>
      <c r="B67" s="28" t="inlineStr">
        <is>
          <t>EX-051</t>
        </is>
      </c>
      <c r="C67" s="29" t="inlineStr">
        <is>
          <t>Towel Ring</t>
        </is>
      </c>
      <c r="D67" s="30">
        <f>IF(Selections!H55="",1,Selections!H55)</f>
        <v/>
      </c>
      <c r="E67" s="31">
        <f>IF(Selections!R55="","",Selections!R55)</f>
        <v/>
      </c>
      <c r="F67" s="40">
        <f>IF(Selections!S55="","",Selections!S55)</f>
        <v/>
      </c>
      <c r="G67" s="31">
        <f>IF(ISNUMBER(E67),D67*E67*(1+IF(ISNUMBER(F67),F67,0)/100),"")</f>
        <v/>
      </c>
    </row>
    <row r="68">
      <c r="A68" s="27" t="n">
        <v>52</v>
      </c>
      <c r="B68" s="28" t="inlineStr">
        <is>
          <t>EX-052</t>
        </is>
      </c>
      <c r="C68" s="29" t="inlineStr">
        <is>
          <t>Towel Bar 24"</t>
        </is>
      </c>
      <c r="D68" s="30">
        <f>IF(Selections!H56="",1,Selections!H56)</f>
        <v/>
      </c>
      <c r="E68" s="31">
        <f>IF(Selections!R56="","",Selections!R56)</f>
        <v/>
      </c>
      <c r="F68" s="40">
        <f>IF(Selections!S56="","",Selections!S56)</f>
        <v/>
      </c>
      <c r="G68" s="31">
        <f>IF(ISNUMBER(E68),D68*E68*(1+IF(ISNUMBER(F68),F68,0)/100),"")</f>
        <v/>
      </c>
    </row>
    <row r="69">
      <c r="A69" s="27" t="n">
        <v>53</v>
      </c>
      <c r="B69" s="28" t="inlineStr">
        <is>
          <t>EX-053</t>
        </is>
      </c>
      <c r="C69" s="29" t="inlineStr">
        <is>
          <t>Vanity Mirror</t>
        </is>
      </c>
      <c r="D69" s="30">
        <f>IF(Selections!H57="",1,Selections!H57)</f>
        <v/>
      </c>
      <c r="E69" s="31">
        <f>IF(Selections!R57="","",Selections!R57)</f>
        <v/>
      </c>
      <c r="F69" s="40">
        <f>IF(Selections!S57="","",Selections!S57)</f>
        <v/>
      </c>
      <c r="G69" s="31">
        <f>IF(ISNUMBER(E69),D69*E69*(1+IF(ISNUMBER(F69),F69,0)/100),"")</f>
        <v/>
      </c>
    </row>
    <row r="70">
      <c r="A70" s="27" t="n">
        <v>54</v>
      </c>
      <c r="B70" s="28" t="inlineStr">
        <is>
          <t>EX-054</t>
        </is>
      </c>
      <c r="C70" s="29" t="inlineStr">
        <is>
          <t>Light Fixture - Bath</t>
        </is>
      </c>
      <c r="D70" s="30">
        <f>IF(Selections!H58="",1,Selections!H58)</f>
        <v/>
      </c>
      <c r="E70" s="31">
        <f>IF(Selections!R58="","",Selections!R58)</f>
        <v/>
      </c>
      <c r="F70" s="40">
        <f>IF(Selections!S58="","",Selections!S58)</f>
        <v/>
      </c>
      <c r="G70" s="31">
        <f>IF(ISNUMBER(E70),D70*E70*(1+IF(ISNUMBER(F70),F70,0)/100),"")</f>
        <v/>
      </c>
    </row>
    <row r="71">
      <c r="A71" s="27" t="n">
        <v>55</v>
      </c>
      <c r="B71" s="28" t="inlineStr">
        <is>
          <t>EX-055</t>
        </is>
      </c>
      <c r="C71" s="29" t="inlineStr">
        <is>
          <t>Flush Toilet</t>
        </is>
      </c>
      <c r="D71" s="30">
        <f>IF(Selections!H59="",1,Selections!H59)</f>
        <v/>
      </c>
      <c r="E71" s="31">
        <f>IF(Selections!R59="","",Selections!R59)</f>
        <v/>
      </c>
      <c r="F71" s="40">
        <f>IF(Selections!S59="","",Selections!S59)</f>
        <v/>
      </c>
      <c r="G71" s="31">
        <f>IF(ISNUMBER(E71),D71*E71*(1+IF(ISNUMBER(F71),F71,0)/100),"")</f>
        <v/>
      </c>
    </row>
    <row r="72">
      <c r="A72" s="27" t="n">
        <v>56</v>
      </c>
      <c r="B72" s="28" t="inlineStr">
        <is>
          <t>EX-056</t>
        </is>
      </c>
      <c r="C72" s="29" t="inlineStr">
        <is>
          <t>Toilet Paper Holder</t>
        </is>
      </c>
      <c r="D72" s="30">
        <f>IF(Selections!H60="",1,Selections!H60)</f>
        <v/>
      </c>
      <c r="E72" s="31">
        <f>IF(Selections!R60="","",Selections!R60)</f>
        <v/>
      </c>
      <c r="F72" s="40">
        <f>IF(Selections!S60="","",Selections!S60)</f>
        <v/>
      </c>
      <c r="G72" s="31">
        <f>IF(ISNUMBER(E72),D72*E72*(1+IF(ISNUMBER(F72),F72,0)/100),"")</f>
        <v/>
      </c>
    </row>
    <row r="73">
      <c r="A73" s="27" t="n">
        <v>57</v>
      </c>
      <c r="B73" s="28" t="inlineStr">
        <is>
          <t>EX-057</t>
        </is>
      </c>
      <c r="C73" s="29" t="inlineStr">
        <is>
          <t>Toilet Lever</t>
        </is>
      </c>
      <c r="D73" s="30">
        <f>IF(Selections!H61="",1,Selections!H61)</f>
        <v/>
      </c>
      <c r="E73" s="31">
        <f>IF(Selections!R61="","",Selections!R61)</f>
        <v/>
      </c>
      <c r="F73" s="40">
        <f>IF(Selections!S61="","",Selections!S61)</f>
        <v/>
      </c>
      <c r="G73" s="31">
        <f>IF(ISNUMBER(E73),D73*E73*(1+IF(ISNUMBER(F73),F73,0)/100),"")</f>
        <v/>
      </c>
    </row>
    <row r="74">
      <c r="A74" s="27" t="n">
        <v>58</v>
      </c>
      <c r="B74" s="28" t="inlineStr">
        <is>
          <t>EX-058</t>
        </is>
      </c>
      <c r="C74" s="29" t="inlineStr">
        <is>
          <t>Doors - Interior</t>
        </is>
      </c>
      <c r="D74" s="30">
        <f>IF(Selections!H62="",1,Selections!H62)</f>
        <v/>
      </c>
      <c r="E74" s="31">
        <f>IF(Selections!R62="","",Selections!R62)</f>
        <v/>
      </c>
      <c r="F74" s="40">
        <f>IF(Selections!S62="","",Selections!S62)</f>
        <v/>
      </c>
      <c r="G74" s="31">
        <f>IF(ISNUMBER(E74),D74*E74*(1+IF(ISNUMBER(F74),F74,0)/100),"")</f>
        <v/>
      </c>
    </row>
    <row r="75">
      <c r="A75" s="27" t="n">
        <v>59</v>
      </c>
      <c r="B75" s="28" t="inlineStr">
        <is>
          <t>EX-059</t>
        </is>
      </c>
      <c r="C75" s="29" t="inlineStr">
        <is>
          <t>Door Stopper</t>
        </is>
      </c>
      <c r="D75" s="30">
        <f>IF(Selections!H63="",1,Selections!H63)</f>
        <v/>
      </c>
      <c r="E75" s="31">
        <f>IF(Selections!R63="","",Selections!R63)</f>
        <v/>
      </c>
      <c r="F75" s="40">
        <f>IF(Selections!S63="","",Selections!S63)</f>
        <v/>
      </c>
      <c r="G75" s="31">
        <f>IF(ISNUMBER(E75),D75*E75*(1+IF(ISNUMBER(F75),F75,0)/100),"")</f>
        <v/>
      </c>
    </row>
    <row r="76">
      <c r="A76" s="27" t="n">
        <v>60</v>
      </c>
      <c r="B76" s="28" t="inlineStr">
        <is>
          <t>EX-060</t>
        </is>
      </c>
      <c r="C76" s="29" t="inlineStr">
        <is>
          <t>Exhaust Fan</t>
        </is>
      </c>
      <c r="D76" s="30">
        <f>IF(Selections!H64="",1,Selections!H64)</f>
        <v/>
      </c>
      <c r="E76" s="31">
        <f>IF(Selections!R64="","",Selections!R64)</f>
        <v/>
      </c>
      <c r="F76" s="40">
        <f>IF(Selections!S64="","",Selections!S64)</f>
        <v/>
      </c>
      <c r="G76" s="31">
        <f>IF(ISNUMBER(E76),D76*E76*(1+IF(ISNUMBER(F76),F76,0)/100),"")</f>
        <v/>
      </c>
    </row>
    <row r="77">
      <c r="A77" s="27" t="n">
        <v>61</v>
      </c>
      <c r="B77" s="28" t="inlineStr">
        <is>
          <t>EX-061</t>
        </is>
      </c>
      <c r="C77" s="29" t="inlineStr">
        <is>
          <t>Flooring</t>
        </is>
      </c>
      <c r="D77" s="30">
        <f>IF(Selections!H65="",1,Selections!H65)</f>
        <v/>
      </c>
      <c r="E77" s="31">
        <f>IF(Selections!R65="","",Selections!R65)</f>
        <v/>
      </c>
      <c r="F77" s="40">
        <f>IF(Selections!S65="","",Selections!S65)</f>
        <v/>
      </c>
      <c r="G77" s="31">
        <f>IF(ISNUMBER(E77),D77*E77*(1+IF(ISNUMBER(F77),F77,0)/100),"")</f>
        <v/>
      </c>
    </row>
    <row r="78">
      <c r="A78" s="27" t="n">
        <v>62</v>
      </c>
      <c r="B78" s="28" t="inlineStr">
        <is>
          <t>EX-062</t>
        </is>
      </c>
      <c r="C78" s="29" t="inlineStr">
        <is>
          <t>Counter top</t>
        </is>
      </c>
      <c r="D78" s="30">
        <f>IF(Selections!H66="",1,Selections!H66)</f>
        <v/>
      </c>
      <c r="E78" s="31">
        <f>IF(Selections!R66="","",Selections!R66)</f>
        <v/>
      </c>
      <c r="F78" s="40">
        <f>IF(Selections!S66="","",Selections!S66)</f>
        <v/>
      </c>
      <c r="G78" s="31">
        <f>IF(ISNUMBER(E78),D78*E78*(1+IF(ISNUMBER(F78),F78,0)/100),"")</f>
        <v/>
      </c>
    </row>
    <row r="79">
      <c r="A79" s="27" t="n">
        <v>63</v>
      </c>
      <c r="B79" s="28" t="inlineStr">
        <is>
          <t>EX-063</t>
        </is>
      </c>
      <c r="C79" s="29" t="inlineStr">
        <is>
          <t>Backsplash</t>
        </is>
      </c>
      <c r="D79" s="30">
        <f>IF(Selections!H67="",1,Selections!H67)</f>
        <v/>
      </c>
      <c r="E79" s="31">
        <f>IF(Selections!R67="","",Selections!R67)</f>
        <v/>
      </c>
      <c r="F79" s="40">
        <f>IF(Selections!S67="","",Selections!S67)</f>
        <v/>
      </c>
      <c r="G79" s="31">
        <f>IF(ISNUMBER(E79),D79*E79*(1+IF(ISNUMBER(F79),F79,0)/100),"")</f>
        <v/>
      </c>
    </row>
    <row r="80">
      <c r="A80" s="27" t="n">
        <v>64</v>
      </c>
      <c r="B80" s="28" t="inlineStr">
        <is>
          <t>EX-064</t>
        </is>
      </c>
      <c r="C80" s="29" t="inlineStr">
        <is>
          <t>Venthood</t>
        </is>
      </c>
      <c r="D80" s="30">
        <f>IF(Selections!H68="",1,Selections!H68)</f>
        <v/>
      </c>
      <c r="E80" s="31">
        <f>IF(Selections!R68="","",Selections!R68)</f>
        <v/>
      </c>
      <c r="F80" s="40">
        <f>IF(Selections!S68="","",Selections!S68)</f>
        <v/>
      </c>
      <c r="G80" s="31">
        <f>IF(ISNUMBER(E80),D80*E80*(1+IF(ISNUMBER(F80),F80,0)/100),"")</f>
        <v/>
      </c>
    </row>
    <row r="81">
      <c r="A81" s="27" t="n">
        <v>65</v>
      </c>
      <c r="B81" s="28" t="inlineStr">
        <is>
          <t>EX-065</t>
        </is>
      </c>
      <c r="C81" s="29" t="inlineStr">
        <is>
          <t>Cooktop/range</t>
        </is>
      </c>
      <c r="D81" s="30">
        <f>IF(Selections!H69="",1,Selections!H69)</f>
        <v/>
      </c>
      <c r="E81" s="31">
        <f>IF(Selections!R69="","",Selections!R69)</f>
        <v/>
      </c>
      <c r="F81" s="40">
        <f>IF(Selections!S69="","",Selections!S69)</f>
        <v/>
      </c>
      <c r="G81" s="31">
        <f>IF(ISNUMBER(E81),D81*E81*(1+IF(ISNUMBER(F81),F81,0)/100),"")</f>
        <v/>
      </c>
    </row>
    <row r="82">
      <c r="A82" s="27" t="n">
        <v>66</v>
      </c>
      <c r="B82" s="28" t="inlineStr">
        <is>
          <t>EX-066</t>
        </is>
      </c>
      <c r="C82" s="29" t="inlineStr">
        <is>
          <t>Dishwasher</t>
        </is>
      </c>
      <c r="D82" s="30">
        <f>IF(Selections!H70="",1,Selections!H70)</f>
        <v/>
      </c>
      <c r="E82" s="31">
        <f>IF(Selections!R70="","",Selections!R70)</f>
        <v/>
      </c>
      <c r="F82" s="40">
        <f>IF(Selections!S70="","",Selections!S70)</f>
        <v/>
      </c>
      <c r="G82" s="31">
        <f>IF(ISNUMBER(E82),D82*E82*(1+IF(ISNUMBER(F82),F82,0)/100),"")</f>
        <v/>
      </c>
    </row>
    <row r="83">
      <c r="A83" s="27" t="n">
        <v>67</v>
      </c>
      <c r="B83" s="28" t="inlineStr">
        <is>
          <t>EX-067</t>
        </is>
      </c>
      <c r="C83" s="29" t="inlineStr">
        <is>
          <t>Kitchen Sink</t>
        </is>
      </c>
      <c r="D83" s="30">
        <f>IF(Selections!H71="",1,Selections!H71)</f>
        <v/>
      </c>
      <c r="E83" s="31">
        <f>IF(Selections!R71="","",Selections!R71)</f>
        <v/>
      </c>
      <c r="F83" s="40">
        <f>IF(Selections!S71="","",Selections!S71)</f>
        <v/>
      </c>
      <c r="G83" s="31">
        <f>IF(ISNUMBER(E83),D83*E83*(1+IF(ISNUMBER(F83),F83,0)/100),"")</f>
        <v/>
      </c>
    </row>
    <row r="84">
      <c r="A84" s="27" t="n">
        <v>68</v>
      </c>
      <c r="B84" s="28" t="inlineStr">
        <is>
          <t>EX-068</t>
        </is>
      </c>
      <c r="C84" s="29" t="inlineStr">
        <is>
          <t>Kitchen Faucet</t>
        </is>
      </c>
      <c r="D84" s="30">
        <f>IF(Selections!H72="",1,Selections!H72)</f>
        <v/>
      </c>
      <c r="E84" s="31">
        <f>IF(Selections!R72="","",Selections!R72)</f>
        <v/>
      </c>
      <c r="F84" s="40">
        <f>IF(Selections!S72="","",Selections!S72)</f>
        <v/>
      </c>
      <c r="G84" s="31">
        <f>IF(ISNUMBER(E84),D84*E84*(1+IF(ISNUMBER(F84),F84,0)/100),"")</f>
        <v/>
      </c>
    </row>
    <row r="85">
      <c r="A85" s="27" t="n">
        <v>69</v>
      </c>
      <c r="B85" s="28" t="inlineStr">
        <is>
          <t>EX-069</t>
        </is>
      </c>
      <c r="C85" s="29" t="inlineStr">
        <is>
          <t>Doors - Interior</t>
        </is>
      </c>
      <c r="D85" s="30">
        <f>IF(Selections!H73="",1,Selections!H73)</f>
        <v/>
      </c>
      <c r="E85" s="31">
        <f>IF(Selections!R73="","",Selections!R73)</f>
        <v/>
      </c>
      <c r="F85" s="40">
        <f>IF(Selections!S73="","",Selections!S73)</f>
        <v/>
      </c>
      <c r="G85" s="31">
        <f>IF(ISNUMBER(E85),D85*E85*(1+IF(ISNUMBER(F85),F85,0)/100),"")</f>
        <v/>
      </c>
    </row>
    <row r="86">
      <c r="A86" s="27" t="n">
        <v>70</v>
      </c>
      <c r="B86" s="28" t="inlineStr">
        <is>
          <t>EX-070</t>
        </is>
      </c>
      <c r="C86" s="29" t="inlineStr">
        <is>
          <t>Doors - Exterior</t>
        </is>
      </c>
      <c r="D86" s="30">
        <f>IF(Selections!H74="",1,Selections!H74)</f>
        <v/>
      </c>
      <c r="E86" s="31">
        <f>IF(Selections!R74="","",Selections!R74)</f>
        <v/>
      </c>
      <c r="F86" s="40">
        <f>IF(Selections!S74="","",Selections!S74)</f>
        <v/>
      </c>
      <c r="G86" s="31">
        <f>IF(ISNUMBER(E86),D86*E86*(1+IF(ISNUMBER(F86),F86,0)/100),"")</f>
        <v/>
      </c>
    </row>
    <row r="87">
      <c r="A87" s="27" t="n">
        <v>71</v>
      </c>
      <c r="B87" s="28" t="inlineStr">
        <is>
          <t>EX-071</t>
        </is>
      </c>
      <c r="C87" s="29" t="inlineStr">
        <is>
          <t>Flooring - walkway</t>
        </is>
      </c>
      <c r="D87" s="30">
        <f>IF(Selections!H75="",1,Selections!H75)</f>
        <v/>
      </c>
      <c r="E87" s="31">
        <f>IF(Selections!R75="","",Selections!R75)</f>
        <v/>
      </c>
      <c r="F87" s="40">
        <f>IF(Selections!S75="","",Selections!S75)</f>
        <v/>
      </c>
      <c r="G87" s="31">
        <f>IF(ISNUMBER(E87),D87*E87*(1+IF(ISNUMBER(F87),F87,0)/100),"")</f>
        <v/>
      </c>
    </row>
    <row r="88">
      <c r="A88" s="27" t="n">
        <v>72</v>
      </c>
      <c r="B88" s="28" t="inlineStr">
        <is>
          <t>EX-072</t>
        </is>
      </c>
      <c r="C88" s="29" t="inlineStr">
        <is>
          <t>Interior Door</t>
        </is>
      </c>
      <c r="D88" s="30">
        <f>IF(Selections!H76="",1,Selections!H76)</f>
        <v/>
      </c>
      <c r="E88" s="31">
        <f>IF(Selections!R76="","",Selections!R76)</f>
        <v/>
      </c>
      <c r="F88" s="40">
        <f>IF(Selections!S76="","",Selections!S76)</f>
        <v/>
      </c>
      <c r="G88" s="31">
        <f>IF(ISNUMBER(E88),D88*E88*(1+IF(ISNUMBER(F88),F88,0)/100),"")</f>
        <v/>
      </c>
    </row>
    <row r="89">
      <c r="A89" s="27" t="n">
        <v>73</v>
      </c>
      <c r="B89" s="28" t="inlineStr">
        <is>
          <t>EX-073</t>
        </is>
      </c>
      <c r="C89" s="29" t="inlineStr">
        <is>
          <t>Door Stopper</t>
        </is>
      </c>
      <c r="D89" s="30">
        <f>IF(Selections!H77="",1,Selections!H77)</f>
        <v/>
      </c>
      <c r="E89" s="31">
        <f>IF(Selections!R77="","",Selections!R77)</f>
        <v/>
      </c>
      <c r="F89" s="40">
        <f>IF(Selections!S77="","",Selections!S77)</f>
        <v/>
      </c>
      <c r="G89" s="31">
        <f>IF(ISNUMBER(E89),D89*E89*(1+IF(ISNUMBER(F89),F89,0)/100),"")</f>
        <v/>
      </c>
    </row>
    <row r="90">
      <c r="A90" s="27" t="n">
        <v>74</v>
      </c>
      <c r="B90" s="28" t="inlineStr">
        <is>
          <t>EX-074</t>
        </is>
      </c>
      <c r="C90" s="29" t="inlineStr">
        <is>
          <t>Flooring</t>
        </is>
      </c>
      <c r="D90" s="30">
        <f>IF(Selections!H78="",1,Selections!H78)</f>
        <v/>
      </c>
      <c r="E90" s="31">
        <f>IF(Selections!R78="","",Selections!R78)</f>
        <v/>
      </c>
      <c r="F90" s="40">
        <f>IF(Selections!S78="","",Selections!S78)</f>
        <v/>
      </c>
      <c r="G90" s="31">
        <f>IF(ISNUMBER(E90),D90*E90*(1+IF(ISNUMBER(F90),F90,0)/100),"")</f>
        <v/>
      </c>
    </row>
    <row r="91">
      <c r="A91" s="27" t="n">
        <v>75</v>
      </c>
      <c r="B91" s="28" t="inlineStr">
        <is>
          <t>EX-075</t>
        </is>
      </c>
      <c r="C91" s="29" t="inlineStr">
        <is>
          <t>Flooring</t>
        </is>
      </c>
      <c r="D91" s="30">
        <f>IF(Selections!H79="",1,Selections!H79)</f>
        <v/>
      </c>
      <c r="E91" s="31">
        <f>IF(Selections!R79="","",Selections!R79)</f>
        <v/>
      </c>
      <c r="F91" s="40">
        <f>IF(Selections!S79="","",Selections!S79)</f>
        <v/>
      </c>
      <c r="G91" s="31">
        <f>IF(ISNUMBER(E91),D91*E91*(1+IF(ISNUMBER(F91),F91,0)/100),"")</f>
        <v/>
      </c>
    </row>
    <row r="92">
      <c r="A92" s="27" t="n">
        <v>76</v>
      </c>
      <c r="B92" s="28" t="inlineStr">
        <is>
          <t>EX-076</t>
        </is>
      </c>
      <c r="C92" s="29" t="inlineStr">
        <is>
          <t>Light Fixture - Fan</t>
        </is>
      </c>
      <c r="D92" s="30">
        <f>IF(Selections!H80="",1,Selections!H80)</f>
        <v/>
      </c>
      <c r="E92" s="31">
        <f>IF(Selections!R80="","",Selections!R80)</f>
        <v/>
      </c>
      <c r="F92" s="40">
        <f>IF(Selections!S80="","",Selections!S80)</f>
        <v/>
      </c>
      <c r="G92" s="31">
        <f>IF(ISNUMBER(E92),D92*E92*(1+IF(ISNUMBER(F92),F92,0)/100),"")</f>
        <v/>
      </c>
    </row>
    <row r="93">
      <c r="A93" s="27" t="n">
        <v>77</v>
      </c>
      <c r="B93" s="28" t="inlineStr">
        <is>
          <t>EX-077</t>
        </is>
      </c>
      <c r="C93" s="29" t="inlineStr">
        <is>
          <t>Light Fixture - Bedroom</t>
        </is>
      </c>
      <c r="D93" s="30">
        <f>IF(Selections!H81="",1,Selections!H81)</f>
        <v/>
      </c>
      <c r="E93" s="31">
        <f>IF(Selections!R81="","",Selections!R81)</f>
        <v/>
      </c>
      <c r="F93" s="40">
        <f>IF(Selections!S81="","",Selections!S81)</f>
        <v/>
      </c>
      <c r="G93" s="31">
        <f>IF(ISNUMBER(E93),D93*E93*(1+IF(ISNUMBER(F93),F93,0)/100),"")</f>
        <v/>
      </c>
    </row>
    <row r="94">
      <c r="A94" s="27" t="n">
        <v>78</v>
      </c>
      <c r="B94" s="28" t="inlineStr">
        <is>
          <t>EX-078</t>
        </is>
      </c>
      <c r="C94" s="29" t="inlineStr">
        <is>
          <t>Interior Door</t>
        </is>
      </c>
      <c r="D94" s="30">
        <f>IF(Selections!H82="",1,Selections!H82)</f>
        <v/>
      </c>
      <c r="E94" s="31">
        <f>IF(Selections!R82="","",Selections!R82)</f>
        <v/>
      </c>
      <c r="F94" s="40">
        <f>IF(Selections!S82="","",Selections!S82)</f>
        <v/>
      </c>
      <c r="G94" s="31">
        <f>IF(ISNUMBER(E94),D94*E94*(1+IF(ISNUMBER(F94),F94,0)/100),"")</f>
        <v/>
      </c>
    </row>
    <row r="95">
      <c r="A95" s="27" t="n">
        <v>79</v>
      </c>
      <c r="B95" s="28" t="inlineStr">
        <is>
          <t>EX-079</t>
        </is>
      </c>
      <c r="C95" s="29" t="inlineStr">
        <is>
          <t>Door Stopper</t>
        </is>
      </c>
      <c r="D95" s="30">
        <f>IF(Selections!H83="",1,Selections!H83)</f>
        <v/>
      </c>
      <c r="E95" s="31">
        <f>IF(Selections!R83="","",Selections!R83)</f>
        <v/>
      </c>
      <c r="F95" s="40">
        <f>IF(Selections!S83="","",Selections!S83)</f>
        <v/>
      </c>
      <c r="G95" s="31">
        <f>IF(ISNUMBER(E95),D95*E95*(1+IF(ISNUMBER(F95),F95,0)/100),"")</f>
        <v/>
      </c>
    </row>
    <row r="96">
      <c r="A96" s="27" t="n">
        <v>80</v>
      </c>
      <c r="B96" s="28" t="inlineStr">
        <is>
          <t>EX-080</t>
        </is>
      </c>
      <c r="C96" s="29" t="inlineStr">
        <is>
          <t>Flooring - Bath</t>
        </is>
      </c>
      <c r="D96" s="30">
        <f>IF(Selections!H84="",1,Selections!H84)</f>
        <v/>
      </c>
      <c r="E96" s="31">
        <f>IF(Selections!R84="","",Selections!R84)</f>
        <v/>
      </c>
      <c r="F96" s="40">
        <f>IF(Selections!S84="","",Selections!S84)</f>
        <v/>
      </c>
      <c r="G96" s="31">
        <f>IF(ISNUMBER(E96),D96*E96*(1+IF(ISNUMBER(F96),F96,0)/100),"")</f>
        <v/>
      </c>
    </row>
    <row r="97">
      <c r="A97" s="27" t="n">
        <v>81</v>
      </c>
      <c r="B97" s="28" t="inlineStr">
        <is>
          <t>EX-081</t>
        </is>
      </c>
      <c r="C97" s="29" t="inlineStr">
        <is>
          <t>Flooring - Shower Floor</t>
        </is>
      </c>
      <c r="D97" s="30">
        <f>IF(Selections!H85="",1,Selections!H85)</f>
        <v/>
      </c>
      <c r="E97" s="31">
        <f>IF(Selections!R85="","",Selections!R85)</f>
        <v/>
      </c>
      <c r="F97" s="40">
        <f>IF(Selections!S85="","",Selections!S85)</f>
        <v/>
      </c>
      <c r="G97" s="31">
        <f>IF(ISNUMBER(E97),D97*E97*(1+IF(ISNUMBER(F97),F97,0)/100),"")</f>
        <v/>
      </c>
    </row>
    <row r="98">
      <c r="A98" s="27" t="n">
        <v>82</v>
      </c>
      <c r="B98" s="28" t="inlineStr">
        <is>
          <t>EX-082</t>
        </is>
      </c>
      <c r="C98" s="29" t="inlineStr">
        <is>
          <t>Backsplash - Shower</t>
        </is>
      </c>
      <c r="D98" s="30">
        <f>IF(Selections!H86="",1,Selections!H86)</f>
        <v/>
      </c>
      <c r="E98" s="31">
        <f>IF(Selections!R86="","",Selections!R86)</f>
        <v/>
      </c>
      <c r="F98" s="40">
        <f>IF(Selections!S86="","",Selections!S86)</f>
        <v/>
      </c>
      <c r="G98" s="31">
        <f>IF(ISNUMBER(E98),D98*E98*(1+IF(ISNUMBER(F98),F98,0)/100),"")</f>
        <v/>
      </c>
    </row>
    <row r="99">
      <c r="A99" s="27" t="n">
        <v>83</v>
      </c>
      <c r="B99" s="28" t="inlineStr">
        <is>
          <t>EX-083</t>
        </is>
      </c>
      <c r="C99" s="29" t="inlineStr">
        <is>
          <t>Flooring - WIC</t>
        </is>
      </c>
      <c r="D99" s="30">
        <f>IF(Selections!H87="",1,Selections!H87)</f>
        <v/>
      </c>
      <c r="E99" s="31">
        <f>IF(Selections!R87="","",Selections!R87)</f>
        <v/>
      </c>
      <c r="F99" s="40">
        <f>IF(Selections!S87="","",Selections!S87)</f>
        <v/>
      </c>
      <c r="G99" s="31">
        <f>IF(ISNUMBER(E99),D99*E99*(1+IF(ISNUMBER(F99),F99,0)/100),"")</f>
        <v/>
      </c>
    </row>
    <row r="100">
      <c r="A100" s="27" t="n">
        <v>84</v>
      </c>
      <c r="B100" s="28" t="inlineStr">
        <is>
          <t>EX-084</t>
        </is>
      </c>
      <c r="C100" s="29" t="inlineStr">
        <is>
          <t>Counter top</t>
        </is>
      </c>
      <c r="D100" s="30">
        <f>IF(Selections!H88="",1,Selections!H88)</f>
        <v/>
      </c>
      <c r="E100" s="31">
        <f>IF(Selections!R88="","",Selections!R88)</f>
        <v/>
      </c>
      <c r="F100" s="40">
        <f>IF(Selections!S88="","",Selections!S88)</f>
        <v/>
      </c>
      <c r="G100" s="31">
        <f>IF(ISNUMBER(E100),D100*E100*(1+IF(ISNUMBER(F100),F100,0)/100),"")</f>
        <v/>
      </c>
    </row>
    <row r="101">
      <c r="A101" s="27" t="n">
        <v>85</v>
      </c>
      <c r="B101" s="28" t="inlineStr">
        <is>
          <t>EX-085</t>
        </is>
      </c>
      <c r="C101" s="29" t="inlineStr">
        <is>
          <t>Shower Glass</t>
        </is>
      </c>
      <c r="D101" s="30">
        <f>IF(Selections!H89="",1,Selections!H89)</f>
        <v/>
      </c>
      <c r="E101" s="31">
        <f>IF(Selections!R89="","",Selections!R89)</f>
        <v/>
      </c>
      <c r="F101" s="40">
        <f>IF(Selections!S89="","",Selections!S89)</f>
        <v/>
      </c>
      <c r="G101" s="31">
        <f>IF(ISNUMBER(E101),D101*E101*(1+IF(ISNUMBER(F101),F101,0)/100),"")</f>
        <v/>
      </c>
    </row>
    <row r="102">
      <c r="A102" s="27" t="n">
        <v>86</v>
      </c>
      <c r="B102" s="28" t="inlineStr">
        <is>
          <t>EX-086</t>
        </is>
      </c>
      <c r="C102" s="29" t="inlineStr">
        <is>
          <t>Shower Head &amp; Valve</t>
        </is>
      </c>
      <c r="D102" s="30">
        <f>IF(Selections!H90="",1,Selections!H90)</f>
        <v/>
      </c>
      <c r="E102" s="31">
        <f>IF(Selections!R90="","",Selections!R90)</f>
        <v/>
      </c>
      <c r="F102" s="40">
        <f>IF(Selections!S90="","",Selections!S90)</f>
        <v/>
      </c>
      <c r="G102" s="31">
        <f>IF(ISNUMBER(E102),D102*E102*(1+IF(ISNUMBER(F102),F102,0)/100),"")</f>
        <v/>
      </c>
    </row>
    <row r="103">
      <c r="A103" s="27" t="n">
        <v>87</v>
      </c>
      <c r="B103" s="28" t="inlineStr">
        <is>
          <t>EX-087</t>
        </is>
      </c>
      <c r="C103" s="29" t="inlineStr">
        <is>
          <t>Shower Drain</t>
        </is>
      </c>
      <c r="D103" s="30">
        <f>IF(Selections!H91="",1,Selections!H91)</f>
        <v/>
      </c>
      <c r="E103" s="31">
        <f>IF(Selections!R91="","",Selections!R91)</f>
        <v/>
      </c>
      <c r="F103" s="40">
        <f>IF(Selections!S91="","",Selections!S91)</f>
        <v/>
      </c>
      <c r="G103" s="31">
        <f>IF(ISNUMBER(E103),D103*E103*(1+IF(ISNUMBER(F103),F103,0)/100),"")</f>
        <v/>
      </c>
    </row>
    <row r="104">
      <c r="A104" s="27" t="n">
        <v>88</v>
      </c>
      <c r="B104" s="28" t="inlineStr">
        <is>
          <t>EX-088</t>
        </is>
      </c>
      <c r="C104" s="29" t="inlineStr">
        <is>
          <t>Free Standing Bath Tub</t>
        </is>
      </c>
      <c r="D104" s="30">
        <f>IF(Selections!H92="",1,Selections!H92)</f>
        <v/>
      </c>
      <c r="E104" s="31">
        <f>IF(Selections!R92="","",Selections!R92)</f>
        <v/>
      </c>
      <c r="F104" s="40">
        <f>IF(Selections!S92="","",Selections!S92)</f>
        <v/>
      </c>
      <c r="G104" s="31">
        <f>IF(ISNUMBER(E104),D104*E104*(1+IF(ISNUMBER(F104),F104,0)/100),"")</f>
        <v/>
      </c>
    </row>
    <row r="105">
      <c r="A105" s="27" t="n">
        <v>89</v>
      </c>
      <c r="B105" s="28" t="inlineStr">
        <is>
          <t>EX-089</t>
        </is>
      </c>
      <c r="C105" s="29" t="inlineStr">
        <is>
          <t>Tub Filler Faucet</t>
        </is>
      </c>
      <c r="D105" s="30">
        <f>IF(Selections!H93="",1,Selections!H93)</f>
        <v/>
      </c>
      <c r="E105" s="31">
        <f>IF(Selections!R93="","",Selections!R93)</f>
        <v/>
      </c>
      <c r="F105" s="40">
        <f>IF(Selections!S93="","",Selections!S93)</f>
        <v/>
      </c>
      <c r="G105" s="31">
        <f>IF(ISNUMBER(E105),D105*E105*(1+IF(ISNUMBER(F105),F105,0)/100),"")</f>
        <v/>
      </c>
    </row>
    <row r="106">
      <c r="A106" s="27" t="n">
        <v>90</v>
      </c>
      <c r="B106" s="28" t="inlineStr">
        <is>
          <t>EX-090</t>
        </is>
      </c>
      <c r="C106" s="29" t="inlineStr">
        <is>
          <t>Vanity Mirror</t>
        </is>
      </c>
      <c r="D106" s="30">
        <f>IF(Selections!H94="",1,Selections!H94)</f>
        <v/>
      </c>
      <c r="E106" s="31">
        <f>IF(Selections!R94="","",Selections!R94)</f>
        <v/>
      </c>
      <c r="F106" s="40">
        <f>IF(Selections!S94="","",Selections!S94)</f>
        <v/>
      </c>
      <c r="G106" s="31">
        <f>IF(ISNUMBER(E106),D106*E106*(1+IF(ISNUMBER(F106),F106,0)/100),"")</f>
        <v/>
      </c>
    </row>
    <row r="107">
      <c r="A107" s="27" t="n">
        <v>91</v>
      </c>
      <c r="B107" s="28" t="inlineStr">
        <is>
          <t>EX-091</t>
        </is>
      </c>
      <c r="C107" s="29" t="inlineStr">
        <is>
          <t>Bathroom Sink</t>
        </is>
      </c>
      <c r="D107" s="30">
        <f>IF(Selections!H95="",1,Selections!H95)</f>
        <v/>
      </c>
      <c r="E107" s="31">
        <f>IF(Selections!R95="","",Selections!R95)</f>
        <v/>
      </c>
      <c r="F107" s="40">
        <f>IF(Selections!S95="","",Selections!S95)</f>
        <v/>
      </c>
      <c r="G107" s="31">
        <f>IF(ISNUMBER(E107),D107*E107*(1+IF(ISNUMBER(F107),F107,0)/100),"")</f>
        <v/>
      </c>
    </row>
    <row r="108">
      <c r="A108" s="27" t="n">
        <v>92</v>
      </c>
      <c r="B108" s="28" t="inlineStr">
        <is>
          <t>EX-092</t>
        </is>
      </c>
      <c r="C108" s="29" t="inlineStr">
        <is>
          <t>Sink Faucet</t>
        </is>
      </c>
      <c r="D108" s="30">
        <f>IF(Selections!H96="",1,Selections!H96)</f>
        <v/>
      </c>
      <c r="E108" s="31">
        <f>IF(Selections!R96="","",Selections!R96)</f>
        <v/>
      </c>
      <c r="F108" s="40">
        <f>IF(Selections!S96="","",Selections!S96)</f>
        <v/>
      </c>
      <c r="G108" s="31">
        <f>IF(ISNUMBER(E108),D108*E108*(1+IF(ISNUMBER(F108),F108,0)/100),"")</f>
        <v/>
      </c>
    </row>
    <row r="109">
      <c r="A109" s="27" t="n">
        <v>93</v>
      </c>
      <c r="B109" s="28" t="inlineStr">
        <is>
          <t>EX-093</t>
        </is>
      </c>
      <c r="C109" s="29" t="inlineStr">
        <is>
          <t>Towel Ring</t>
        </is>
      </c>
      <c r="D109" s="30">
        <f>IF(Selections!H97="",1,Selections!H97)</f>
        <v/>
      </c>
      <c r="E109" s="31">
        <f>IF(Selections!R97="","",Selections!R97)</f>
        <v/>
      </c>
      <c r="F109" s="40">
        <f>IF(Selections!S97="","",Selections!S97)</f>
        <v/>
      </c>
      <c r="G109" s="31">
        <f>IF(ISNUMBER(E109),D109*E109*(1+IF(ISNUMBER(F109),F109,0)/100),"")</f>
        <v/>
      </c>
    </row>
    <row r="110">
      <c r="A110" s="27" t="n">
        <v>94</v>
      </c>
      <c r="B110" s="28" t="inlineStr">
        <is>
          <t>EX-094</t>
        </is>
      </c>
      <c r="C110" s="29" t="inlineStr">
        <is>
          <t>Towel Bar 24"</t>
        </is>
      </c>
      <c r="D110" s="30">
        <f>IF(Selections!H98="",1,Selections!H98)</f>
        <v/>
      </c>
      <c r="E110" s="31">
        <f>IF(Selections!R98="","",Selections!R98)</f>
        <v/>
      </c>
      <c r="F110" s="40">
        <f>IF(Selections!S98="","",Selections!S98)</f>
        <v/>
      </c>
      <c r="G110" s="31">
        <f>IF(ISNUMBER(E110),D110*E110*(1+IF(ISNUMBER(F110),F110,0)/100),"")</f>
        <v/>
      </c>
    </row>
    <row r="111">
      <c r="A111" s="27" t="n">
        <v>95</v>
      </c>
      <c r="B111" s="28" t="inlineStr">
        <is>
          <t>EX-095</t>
        </is>
      </c>
      <c r="C111" s="29" t="inlineStr">
        <is>
          <t>Flush Toilet</t>
        </is>
      </c>
      <c r="D111" s="30">
        <f>IF(Selections!H99="",1,Selections!H99)</f>
        <v/>
      </c>
      <c r="E111" s="31">
        <f>IF(Selections!R99="","",Selections!R99)</f>
        <v/>
      </c>
      <c r="F111" s="40">
        <f>IF(Selections!S99="","",Selections!S99)</f>
        <v/>
      </c>
      <c r="G111" s="31">
        <f>IF(ISNUMBER(E111),D111*E111*(1+IF(ISNUMBER(F111),F111,0)/100),"")</f>
        <v/>
      </c>
    </row>
    <row r="112">
      <c r="A112" s="27" t="n">
        <v>96</v>
      </c>
      <c r="B112" s="28" t="inlineStr">
        <is>
          <t>EX-096</t>
        </is>
      </c>
      <c r="C112" s="29" t="inlineStr">
        <is>
          <t>Toilet Paper Holder</t>
        </is>
      </c>
      <c r="D112" s="30">
        <f>IF(Selections!H100="",1,Selections!H100)</f>
        <v/>
      </c>
      <c r="E112" s="31">
        <f>IF(Selections!R100="","",Selections!R100)</f>
        <v/>
      </c>
      <c r="F112" s="40">
        <f>IF(Selections!S100="","",Selections!S100)</f>
        <v/>
      </c>
      <c r="G112" s="31">
        <f>IF(ISNUMBER(E112),D112*E112*(1+IF(ISNUMBER(F112),F112,0)/100),"")</f>
        <v/>
      </c>
    </row>
    <row r="113">
      <c r="A113" s="27" t="n">
        <v>97</v>
      </c>
      <c r="B113" s="28" t="inlineStr">
        <is>
          <t>EX-097</t>
        </is>
      </c>
      <c r="C113" s="29" t="inlineStr">
        <is>
          <t>Toilet Lever</t>
        </is>
      </c>
      <c r="D113" s="30">
        <f>IF(Selections!H101="",1,Selections!H101)</f>
        <v/>
      </c>
      <c r="E113" s="31">
        <f>IF(Selections!R101="","",Selections!R101)</f>
        <v/>
      </c>
      <c r="F113" s="40">
        <f>IF(Selections!S101="","",Selections!S101)</f>
        <v/>
      </c>
      <c r="G113" s="31">
        <f>IF(ISNUMBER(E113),D113*E113*(1+IF(ISNUMBER(F113),F113,0)/100),"")</f>
        <v/>
      </c>
    </row>
    <row r="114">
      <c r="A114" s="27" t="n">
        <v>98</v>
      </c>
      <c r="B114" s="28" t="inlineStr">
        <is>
          <t>EX-098</t>
        </is>
      </c>
      <c r="C114" s="29" t="inlineStr">
        <is>
          <t>Exhaust Fan</t>
        </is>
      </c>
      <c r="D114" s="30">
        <f>IF(Selections!H102="",1,Selections!H102)</f>
        <v/>
      </c>
      <c r="E114" s="31">
        <f>IF(Selections!R102="","",Selections!R102)</f>
        <v/>
      </c>
      <c r="F114" s="40">
        <f>IF(Selections!S102="","",Selections!S102)</f>
        <v/>
      </c>
      <c r="G114" s="31">
        <f>IF(ISNUMBER(E114),D114*E114*(1+IF(ISNUMBER(F114),F114,0)/100),"")</f>
        <v/>
      </c>
    </row>
    <row r="115">
      <c r="A115" s="27" t="n">
        <v>99</v>
      </c>
      <c r="B115" s="28" t="inlineStr">
        <is>
          <t>EX-099</t>
        </is>
      </c>
      <c r="C115" s="29" t="inlineStr">
        <is>
          <t>Light Fixture</t>
        </is>
      </c>
      <c r="D115" s="30">
        <f>IF(Selections!H103="",1,Selections!H103)</f>
        <v/>
      </c>
      <c r="E115" s="31">
        <f>IF(Selections!R103="","",Selections!R103)</f>
        <v/>
      </c>
      <c r="F115" s="40">
        <f>IF(Selections!S103="","",Selections!S103)</f>
        <v/>
      </c>
      <c r="G115" s="31">
        <f>IF(ISNUMBER(E115),D115*E115*(1+IF(ISNUMBER(F115),F115,0)/100),"")</f>
        <v/>
      </c>
    </row>
    <row r="116">
      <c r="A116" s="27" t="n">
        <v>100</v>
      </c>
      <c r="B116" s="28" t="inlineStr">
        <is>
          <t>EX-100</t>
        </is>
      </c>
      <c r="C116" s="29" t="inlineStr">
        <is>
          <t>Interior Door</t>
        </is>
      </c>
      <c r="D116" s="30">
        <f>IF(Selections!H104="",1,Selections!H104)</f>
        <v/>
      </c>
      <c r="E116" s="31">
        <f>IF(Selections!R104="","",Selections!R104)</f>
        <v/>
      </c>
      <c r="F116" s="40">
        <f>IF(Selections!S104="","",Selections!S104)</f>
        <v/>
      </c>
      <c r="G116" s="31">
        <f>IF(ISNUMBER(E116),D116*E116*(1+IF(ISNUMBER(F116),F116,0)/100),"")</f>
        <v/>
      </c>
    </row>
    <row r="117">
      <c r="A117" s="27" t="n">
        <v>101</v>
      </c>
      <c r="B117" s="28" t="inlineStr">
        <is>
          <t>EX-101</t>
        </is>
      </c>
      <c r="C117" s="29" t="inlineStr">
        <is>
          <t>Door Stopper</t>
        </is>
      </c>
      <c r="D117" s="30">
        <f>IF(Selections!H105="",1,Selections!H105)</f>
        <v/>
      </c>
      <c r="E117" s="31">
        <f>IF(Selections!R105="","",Selections!R105)</f>
        <v/>
      </c>
      <c r="F117" s="40">
        <f>IF(Selections!S105="","",Selections!S105)</f>
        <v/>
      </c>
      <c r="G117" s="31">
        <f>IF(ISNUMBER(E117),D117*E117*(1+IF(ISNUMBER(F117),F117,0)/100),"")</f>
        <v/>
      </c>
    </row>
    <row r="118">
      <c r="A118" s="27" t="n">
        <v>102</v>
      </c>
      <c r="B118" s="28" t="inlineStr">
        <is>
          <t>EX-102</t>
        </is>
      </c>
      <c r="C118" s="29" t="inlineStr">
        <is>
          <t>Flooring</t>
        </is>
      </c>
      <c r="D118" s="30">
        <f>IF(Selections!H106="",1,Selections!H106)</f>
        <v/>
      </c>
      <c r="E118" s="31">
        <f>IF(Selections!R106="","",Selections!R106)</f>
        <v/>
      </c>
      <c r="F118" s="40">
        <f>IF(Selections!S106="","",Selections!S106)</f>
        <v/>
      </c>
      <c r="G118" s="31">
        <f>IF(ISNUMBER(E118),D118*E118*(1+IF(ISNUMBER(F118),F118,0)/100),"")</f>
        <v/>
      </c>
    </row>
    <row r="119">
      <c r="A119" s="27" t="n">
        <v>103</v>
      </c>
      <c r="B119" s="28" t="inlineStr">
        <is>
          <t>EX-103</t>
        </is>
      </c>
      <c r="C119" s="29" t="inlineStr">
        <is>
          <t>Mud Bench</t>
        </is>
      </c>
      <c r="D119" s="30">
        <f>IF(Selections!H107="",1,Selections!H107)</f>
        <v/>
      </c>
      <c r="E119" s="31">
        <f>IF(Selections!R107="","",Selections!R107)</f>
        <v/>
      </c>
      <c r="F119" s="40">
        <f>IF(Selections!S107="","",Selections!S107)</f>
        <v/>
      </c>
      <c r="G119" s="31">
        <f>IF(ISNUMBER(E119),D119*E119*(1+IF(ISNUMBER(F119),F119,0)/100),"")</f>
        <v/>
      </c>
    </row>
    <row r="120">
      <c r="A120" s="27" t="n">
        <v>104</v>
      </c>
      <c r="B120" s="28" t="inlineStr">
        <is>
          <t>EX-104</t>
        </is>
      </c>
      <c r="C120" s="29" t="inlineStr">
        <is>
          <t>Counter top</t>
        </is>
      </c>
      <c r="D120" s="30">
        <f>IF(Selections!H108="",1,Selections!H108)</f>
        <v/>
      </c>
      <c r="E120" s="31">
        <f>IF(Selections!R108="","",Selections!R108)</f>
        <v/>
      </c>
      <c r="F120" s="40">
        <f>IF(Selections!S108="","",Selections!S108)</f>
        <v/>
      </c>
      <c r="G120" s="31">
        <f>IF(ISNUMBER(E120),D120*E120*(1+IF(ISNUMBER(F120),F120,0)/100),"")</f>
        <v/>
      </c>
    </row>
    <row r="121">
      <c r="A121" s="27" t="n">
        <v>105</v>
      </c>
      <c r="B121" s="28" t="inlineStr">
        <is>
          <t>EX-105</t>
        </is>
      </c>
      <c r="C121" s="29" t="inlineStr">
        <is>
          <t>Laundry Sink</t>
        </is>
      </c>
      <c r="D121" s="30">
        <f>IF(Selections!H109="",1,Selections!H109)</f>
        <v/>
      </c>
      <c r="E121" s="31">
        <f>IF(Selections!R109="","",Selections!R109)</f>
        <v/>
      </c>
      <c r="F121" s="40">
        <f>IF(Selections!S109="","",Selections!S109)</f>
        <v/>
      </c>
      <c r="G121" s="31">
        <f>IF(ISNUMBER(E121),D121*E121*(1+IF(ISNUMBER(F121),F121,0)/100),"")</f>
        <v/>
      </c>
    </row>
    <row r="122">
      <c r="A122" s="27" t="n">
        <v>106</v>
      </c>
      <c r="B122" s="28" t="inlineStr">
        <is>
          <t>EX-106</t>
        </is>
      </c>
      <c r="C122" s="29" t="inlineStr">
        <is>
          <t>Laundry Faucet</t>
        </is>
      </c>
      <c r="D122" s="30">
        <f>IF(Selections!H110="",1,Selections!H110)</f>
        <v/>
      </c>
      <c r="E122" s="31">
        <f>IF(Selections!R110="","",Selections!R110)</f>
        <v/>
      </c>
      <c r="F122" s="40">
        <f>IF(Selections!S110="","",Selections!S110)</f>
        <v/>
      </c>
      <c r="G122" s="31">
        <f>IF(ISNUMBER(E122),D122*E122*(1+IF(ISNUMBER(F122),F122,0)/100),"")</f>
        <v/>
      </c>
    </row>
    <row r="123">
      <c r="A123" s="27" t="n">
        <v>107</v>
      </c>
      <c r="B123" s="28" t="inlineStr">
        <is>
          <t>EX-107</t>
        </is>
      </c>
      <c r="C123" s="29" t="inlineStr">
        <is>
          <t>Exhaust Fan</t>
        </is>
      </c>
      <c r="D123" s="30">
        <f>IF(Selections!H111="",1,Selections!H111)</f>
        <v/>
      </c>
      <c r="E123" s="31">
        <f>IF(Selections!R111="","",Selections!R111)</f>
        <v/>
      </c>
      <c r="F123" s="40">
        <f>IF(Selections!S111="","",Selections!S111)</f>
        <v/>
      </c>
      <c r="G123" s="31">
        <f>IF(ISNUMBER(E123),D123*E123*(1+IF(ISNUMBER(F123),F123,0)/100),"")</f>
        <v/>
      </c>
    </row>
    <row r="124">
      <c r="A124" s="27" t="n">
        <v>108</v>
      </c>
      <c r="B124" s="28" t="inlineStr">
        <is>
          <t>EX-108</t>
        </is>
      </c>
      <c r="C124" s="29" t="inlineStr">
        <is>
          <t>Interior Door</t>
        </is>
      </c>
      <c r="D124" s="30">
        <f>IF(Selections!H112="",1,Selections!H112)</f>
        <v/>
      </c>
      <c r="E124" s="31">
        <f>IF(Selections!R112="","",Selections!R112)</f>
        <v/>
      </c>
      <c r="F124" s="40">
        <f>IF(Selections!S112="","",Selections!S112)</f>
        <v/>
      </c>
      <c r="G124" s="31">
        <f>IF(ISNUMBER(E124),D124*E124*(1+IF(ISNUMBER(F124),F124,0)/100),"")</f>
        <v/>
      </c>
    </row>
    <row r="125">
      <c r="A125" s="27" t="n">
        <v>109</v>
      </c>
      <c r="B125" s="28" t="inlineStr">
        <is>
          <t>EX-109</t>
        </is>
      </c>
      <c r="C125" s="29" t="inlineStr">
        <is>
          <t>Door Stopper</t>
        </is>
      </c>
      <c r="D125" s="30">
        <f>IF(Selections!H113="",1,Selections!H113)</f>
        <v/>
      </c>
      <c r="E125" s="31">
        <f>IF(Selections!R113="","",Selections!R113)</f>
        <v/>
      </c>
      <c r="F125" s="40">
        <f>IF(Selections!S113="","",Selections!S113)</f>
        <v/>
      </c>
      <c r="G125" s="31">
        <f>IF(ISNUMBER(E125),D125*E125*(1+IF(ISNUMBER(F125),F125,0)/100),"")</f>
        <v/>
      </c>
    </row>
    <row r="126">
      <c r="A126" s="27" t="n">
        <v>110</v>
      </c>
      <c r="B126" s="28" t="inlineStr">
        <is>
          <t>EX-110</t>
        </is>
      </c>
      <c r="C126" s="29" t="inlineStr">
        <is>
          <t>Flooring</t>
        </is>
      </c>
      <c r="D126" s="30">
        <f>IF(Selections!H114="",1,Selections!H114)</f>
        <v/>
      </c>
      <c r="E126" s="31">
        <f>IF(Selections!R114="","",Selections!R114)</f>
        <v/>
      </c>
      <c r="F126" s="40">
        <f>IF(Selections!S114="","",Selections!S114)</f>
        <v/>
      </c>
      <c r="G126" s="31">
        <f>IF(ISNUMBER(E126),D126*E126*(1+IF(ISNUMBER(F126),F126,0)/100),"")</f>
        <v/>
      </c>
    </row>
    <row r="127">
      <c r="A127" s="27" t="n">
        <v>111</v>
      </c>
      <c r="B127" s="28" t="inlineStr">
        <is>
          <t>EX-111</t>
        </is>
      </c>
      <c r="C127" s="29" t="inlineStr">
        <is>
          <t>Light Fixture - Fan</t>
        </is>
      </c>
      <c r="D127" s="30">
        <f>IF(Selections!H115="",1,Selections!H115)</f>
        <v/>
      </c>
      <c r="E127" s="31">
        <f>IF(Selections!R115="","",Selections!R115)</f>
        <v/>
      </c>
      <c r="F127" s="40">
        <f>IF(Selections!S115="","",Selections!S115)</f>
        <v/>
      </c>
      <c r="G127" s="31">
        <f>IF(ISNUMBER(E127),D127*E127*(1+IF(ISNUMBER(F127),F127,0)/100),"")</f>
        <v/>
      </c>
    </row>
    <row r="128">
      <c r="A128" s="27" t="n">
        <v>112</v>
      </c>
      <c r="B128" s="28" t="inlineStr">
        <is>
          <t>EX-112</t>
        </is>
      </c>
      <c r="C128" s="29" t="inlineStr">
        <is>
          <t>Interior Door</t>
        </is>
      </c>
      <c r="D128" s="30">
        <f>IF(Selections!H116="",1,Selections!H116)</f>
        <v/>
      </c>
      <c r="E128" s="31">
        <f>IF(Selections!R116="","",Selections!R116)</f>
        <v/>
      </c>
      <c r="F128" s="40">
        <f>IF(Selections!S116="","",Selections!S116)</f>
        <v/>
      </c>
      <c r="G128" s="31">
        <f>IF(ISNUMBER(E128),D128*E128*(1+IF(ISNUMBER(F128),F128,0)/100),"")</f>
        <v/>
      </c>
    </row>
    <row r="129">
      <c r="A129" s="27" t="n">
        <v>113</v>
      </c>
      <c r="B129" s="28" t="inlineStr">
        <is>
          <t>EX-113</t>
        </is>
      </c>
      <c r="C129" s="29" t="inlineStr">
        <is>
          <t>Door Stopper</t>
        </is>
      </c>
      <c r="D129" s="30">
        <f>IF(Selections!H117="",1,Selections!H117)</f>
        <v/>
      </c>
      <c r="E129" s="31">
        <f>IF(Selections!R117="","",Selections!R117)</f>
        <v/>
      </c>
      <c r="F129" s="40">
        <f>IF(Selections!S117="","",Selections!S117)</f>
        <v/>
      </c>
      <c r="G129" s="31">
        <f>IF(ISNUMBER(E129),D129*E129*(1+IF(ISNUMBER(F129),F129,0)/100),"")</f>
        <v/>
      </c>
    </row>
    <row r="130">
      <c r="A130" s="27" t="n">
        <v>114</v>
      </c>
      <c r="B130" s="28" t="inlineStr">
        <is>
          <t>EX-114</t>
        </is>
      </c>
      <c r="C130" s="29" t="inlineStr">
        <is>
          <t>Flooring - Bath</t>
        </is>
      </c>
      <c r="D130" s="30">
        <f>IF(Selections!H118="",1,Selections!H118)</f>
        <v/>
      </c>
      <c r="E130" s="31">
        <f>IF(Selections!R118="","",Selections!R118)</f>
        <v/>
      </c>
      <c r="F130" s="40">
        <f>IF(Selections!S118="","",Selections!S118)</f>
        <v/>
      </c>
      <c r="G130" s="31">
        <f>IF(ISNUMBER(E130),D130*E130*(1+IF(ISNUMBER(F130),F130,0)/100),"")</f>
        <v/>
      </c>
    </row>
    <row r="131">
      <c r="A131" s="27" t="n">
        <v>115</v>
      </c>
      <c r="B131" s="28" t="inlineStr">
        <is>
          <t>EX-115</t>
        </is>
      </c>
      <c r="C131" s="29" t="inlineStr">
        <is>
          <t>Flooring - Shower Floor</t>
        </is>
      </c>
      <c r="D131" s="30">
        <f>IF(Selections!H119="",1,Selections!H119)</f>
        <v/>
      </c>
      <c r="E131" s="31">
        <f>IF(Selections!R119="","",Selections!R119)</f>
        <v/>
      </c>
      <c r="F131" s="40">
        <f>IF(Selections!S119="","",Selections!S119)</f>
        <v/>
      </c>
      <c r="G131" s="31">
        <f>IF(ISNUMBER(E131),D131*E131*(1+IF(ISNUMBER(F131),F131,0)/100),"")</f>
        <v/>
      </c>
    </row>
    <row r="132">
      <c r="A132" s="27" t="n">
        <v>116</v>
      </c>
      <c r="B132" s="28" t="inlineStr">
        <is>
          <t>EX-116</t>
        </is>
      </c>
      <c r="C132" s="29" t="inlineStr">
        <is>
          <t>Backsplash - Shower</t>
        </is>
      </c>
      <c r="D132" s="30">
        <f>IF(Selections!H120="",1,Selections!H120)</f>
        <v/>
      </c>
      <c r="E132" s="31">
        <f>IF(Selections!R120="","",Selections!R120)</f>
        <v/>
      </c>
      <c r="F132" s="40">
        <f>IF(Selections!S120="","",Selections!S120)</f>
        <v/>
      </c>
      <c r="G132" s="31">
        <f>IF(ISNUMBER(E132),D132*E132*(1+IF(ISNUMBER(F132),F132,0)/100),"")</f>
        <v/>
      </c>
    </row>
    <row r="133">
      <c r="A133" s="27" t="n">
        <v>117</v>
      </c>
      <c r="B133" s="28" t="inlineStr">
        <is>
          <t>EX-117</t>
        </is>
      </c>
      <c r="C133" s="29" t="inlineStr">
        <is>
          <t>Counter top</t>
        </is>
      </c>
      <c r="D133" s="30">
        <f>IF(Selections!H121="",1,Selections!H121)</f>
        <v/>
      </c>
      <c r="E133" s="31">
        <f>IF(Selections!R121="","",Selections!R121)</f>
        <v/>
      </c>
      <c r="F133" s="40">
        <f>IF(Selections!S121="","",Selections!S121)</f>
        <v/>
      </c>
      <c r="G133" s="31">
        <f>IF(ISNUMBER(E133),D133*E133*(1+IF(ISNUMBER(F133),F133,0)/100),"")</f>
        <v/>
      </c>
    </row>
    <row r="134">
      <c r="A134" s="27" t="n">
        <v>118</v>
      </c>
      <c r="B134" s="28" t="inlineStr">
        <is>
          <t>EX-118</t>
        </is>
      </c>
      <c r="C134" s="29" t="inlineStr">
        <is>
          <t>Shower Glass</t>
        </is>
      </c>
      <c r="D134" s="30">
        <f>IF(Selections!H122="",1,Selections!H122)</f>
        <v/>
      </c>
      <c r="E134" s="31">
        <f>IF(Selections!R122="","",Selections!R122)</f>
        <v/>
      </c>
      <c r="F134" s="40">
        <f>IF(Selections!S122="","",Selections!S122)</f>
        <v/>
      </c>
      <c r="G134" s="31">
        <f>IF(ISNUMBER(E134),D134*E134*(1+IF(ISNUMBER(F134),F134,0)/100),"")</f>
        <v/>
      </c>
    </row>
    <row r="135">
      <c r="A135" s="27" t="n">
        <v>119</v>
      </c>
      <c r="B135" s="28" t="inlineStr">
        <is>
          <t>EX-119</t>
        </is>
      </c>
      <c r="C135" s="29" t="inlineStr">
        <is>
          <t>Shower Head &amp; Valve</t>
        </is>
      </c>
      <c r="D135" s="30">
        <f>IF(Selections!H123="",1,Selections!H123)</f>
        <v/>
      </c>
      <c r="E135" s="31">
        <f>IF(Selections!R123="","",Selections!R123)</f>
        <v/>
      </c>
      <c r="F135" s="40">
        <f>IF(Selections!S123="","",Selections!S123)</f>
        <v/>
      </c>
      <c r="G135" s="31">
        <f>IF(ISNUMBER(E135),D135*E135*(1+IF(ISNUMBER(F135),F135,0)/100),"")</f>
        <v/>
      </c>
    </row>
    <row r="136">
      <c r="A136" s="27" t="n">
        <v>120</v>
      </c>
      <c r="B136" s="28" t="inlineStr">
        <is>
          <t>EX-120</t>
        </is>
      </c>
      <c r="C136" s="29" t="inlineStr">
        <is>
          <t>Shower Drain</t>
        </is>
      </c>
      <c r="D136" s="30">
        <f>IF(Selections!H124="",1,Selections!H124)</f>
        <v/>
      </c>
      <c r="E136" s="31">
        <f>IF(Selections!R124="","",Selections!R124)</f>
        <v/>
      </c>
      <c r="F136" s="40">
        <f>IF(Selections!S124="","",Selections!S124)</f>
        <v/>
      </c>
      <c r="G136" s="31">
        <f>IF(ISNUMBER(E136),D136*E136*(1+IF(ISNUMBER(F136),F136,0)/100),"")</f>
        <v/>
      </c>
    </row>
    <row r="137">
      <c r="A137" s="27" t="n">
        <v>121</v>
      </c>
      <c r="B137" s="28" t="inlineStr">
        <is>
          <t>EX-121</t>
        </is>
      </c>
      <c r="C137" s="29" t="inlineStr">
        <is>
          <t>Vanity Mirror</t>
        </is>
      </c>
      <c r="D137" s="30">
        <f>IF(Selections!H125="",1,Selections!H125)</f>
        <v/>
      </c>
      <c r="E137" s="31">
        <f>IF(Selections!R125="","",Selections!R125)</f>
        <v/>
      </c>
      <c r="F137" s="40">
        <f>IF(Selections!S125="","",Selections!S125)</f>
        <v/>
      </c>
      <c r="G137" s="31">
        <f>IF(ISNUMBER(E137),D137*E137*(1+IF(ISNUMBER(F137),F137,0)/100),"")</f>
        <v/>
      </c>
    </row>
    <row r="138">
      <c r="A138" s="27" t="n">
        <v>122</v>
      </c>
      <c r="B138" s="28" t="inlineStr">
        <is>
          <t>EX-122</t>
        </is>
      </c>
      <c r="C138" s="29" t="inlineStr">
        <is>
          <t>Bathroom Sink</t>
        </is>
      </c>
      <c r="D138" s="30">
        <f>IF(Selections!H126="",1,Selections!H126)</f>
        <v/>
      </c>
      <c r="E138" s="31">
        <f>IF(Selections!R126="","",Selections!R126)</f>
        <v/>
      </c>
      <c r="F138" s="40">
        <f>IF(Selections!S126="","",Selections!S126)</f>
        <v/>
      </c>
      <c r="G138" s="31">
        <f>IF(ISNUMBER(E138),D138*E138*(1+IF(ISNUMBER(F138),F138,0)/100),"")</f>
        <v/>
      </c>
    </row>
    <row r="139">
      <c r="A139" s="27" t="n">
        <v>123</v>
      </c>
      <c r="B139" s="28" t="inlineStr">
        <is>
          <t>EX-123</t>
        </is>
      </c>
      <c r="C139" s="29" t="inlineStr">
        <is>
          <t>Sink Faucet</t>
        </is>
      </c>
      <c r="D139" s="30">
        <f>IF(Selections!H127="",1,Selections!H127)</f>
        <v/>
      </c>
      <c r="E139" s="31">
        <f>IF(Selections!R127="","",Selections!R127)</f>
        <v/>
      </c>
      <c r="F139" s="40">
        <f>IF(Selections!S127="","",Selections!S127)</f>
        <v/>
      </c>
      <c r="G139" s="31">
        <f>IF(ISNUMBER(E139),D139*E139*(1+IF(ISNUMBER(F139),F139,0)/100),"")</f>
        <v/>
      </c>
    </row>
    <row r="140">
      <c r="A140" s="27" t="n">
        <v>124</v>
      </c>
      <c r="B140" s="28" t="inlineStr">
        <is>
          <t>EX-124</t>
        </is>
      </c>
      <c r="C140" s="29" t="inlineStr">
        <is>
          <t>Towel Ring</t>
        </is>
      </c>
      <c r="D140" s="30">
        <f>IF(Selections!H128="",1,Selections!H128)</f>
        <v/>
      </c>
      <c r="E140" s="31">
        <f>IF(Selections!R128="","",Selections!R128)</f>
        <v/>
      </c>
      <c r="F140" s="40">
        <f>IF(Selections!S128="","",Selections!S128)</f>
        <v/>
      </c>
      <c r="G140" s="31">
        <f>IF(ISNUMBER(E140),D140*E140*(1+IF(ISNUMBER(F140),F140,0)/100),"")</f>
        <v/>
      </c>
    </row>
    <row r="141">
      <c r="A141" s="27" t="n">
        <v>125</v>
      </c>
      <c r="B141" s="28" t="inlineStr">
        <is>
          <t>EX-125</t>
        </is>
      </c>
      <c r="C141" s="29" t="inlineStr">
        <is>
          <t>Towel Bar 24"</t>
        </is>
      </c>
      <c r="D141" s="30">
        <f>IF(Selections!H129="",1,Selections!H129)</f>
        <v/>
      </c>
      <c r="E141" s="31">
        <f>IF(Selections!R129="","",Selections!R129)</f>
        <v/>
      </c>
      <c r="F141" s="40">
        <f>IF(Selections!S129="","",Selections!S129)</f>
        <v/>
      </c>
      <c r="G141" s="31">
        <f>IF(ISNUMBER(E141),D141*E141*(1+IF(ISNUMBER(F141),F141,0)/100),"")</f>
        <v/>
      </c>
    </row>
    <row r="142">
      <c r="A142" s="27" t="n">
        <v>126</v>
      </c>
      <c r="B142" s="28" t="inlineStr">
        <is>
          <t>EX-126</t>
        </is>
      </c>
      <c r="C142" s="29" t="inlineStr">
        <is>
          <t>Flush Toilet</t>
        </is>
      </c>
      <c r="D142" s="30">
        <f>IF(Selections!H130="",1,Selections!H130)</f>
        <v/>
      </c>
      <c r="E142" s="31">
        <f>IF(Selections!R130="","",Selections!R130)</f>
        <v/>
      </c>
      <c r="F142" s="40">
        <f>IF(Selections!S130="","",Selections!S130)</f>
        <v/>
      </c>
      <c r="G142" s="31">
        <f>IF(ISNUMBER(E142),D142*E142*(1+IF(ISNUMBER(F142),F142,0)/100),"")</f>
        <v/>
      </c>
    </row>
    <row r="143">
      <c r="A143" s="27" t="n">
        <v>127</v>
      </c>
      <c r="B143" s="28" t="inlineStr">
        <is>
          <t>EX-127</t>
        </is>
      </c>
      <c r="C143" s="29" t="inlineStr">
        <is>
          <t>Toilet Paper Holder</t>
        </is>
      </c>
      <c r="D143" s="30">
        <f>IF(Selections!H131="",1,Selections!H131)</f>
        <v/>
      </c>
      <c r="E143" s="31">
        <f>IF(Selections!R131="","",Selections!R131)</f>
        <v/>
      </c>
      <c r="F143" s="40">
        <f>IF(Selections!S131="","",Selections!S131)</f>
        <v/>
      </c>
      <c r="G143" s="31">
        <f>IF(ISNUMBER(E143),D143*E143*(1+IF(ISNUMBER(F143),F143,0)/100),"")</f>
        <v/>
      </c>
    </row>
    <row r="144">
      <c r="A144" s="27" t="n">
        <v>128</v>
      </c>
      <c r="B144" s="28" t="inlineStr">
        <is>
          <t>EX-128</t>
        </is>
      </c>
      <c r="C144" s="29" t="inlineStr">
        <is>
          <t>Toilet Lever</t>
        </is>
      </c>
      <c r="D144" s="30">
        <f>IF(Selections!H132="",1,Selections!H132)</f>
        <v/>
      </c>
      <c r="E144" s="31">
        <f>IF(Selections!R132="","",Selections!R132)</f>
        <v/>
      </c>
      <c r="F144" s="40">
        <f>IF(Selections!S132="","",Selections!S132)</f>
        <v/>
      </c>
      <c r="G144" s="31">
        <f>IF(ISNUMBER(E144),D144*E144*(1+IF(ISNUMBER(F144),F144,0)/100),"")</f>
        <v/>
      </c>
    </row>
    <row r="145">
      <c r="A145" s="27" t="n">
        <v>129</v>
      </c>
      <c r="B145" s="28" t="inlineStr">
        <is>
          <t>EX-129</t>
        </is>
      </c>
      <c r="C145" s="29" t="inlineStr">
        <is>
          <t>Exhaust Fan</t>
        </is>
      </c>
      <c r="D145" s="30">
        <f>IF(Selections!H133="",1,Selections!H133)</f>
        <v/>
      </c>
      <c r="E145" s="31">
        <f>IF(Selections!R133="","",Selections!R133)</f>
        <v/>
      </c>
      <c r="F145" s="40">
        <f>IF(Selections!S133="","",Selections!S133)</f>
        <v/>
      </c>
      <c r="G145" s="31">
        <f>IF(ISNUMBER(E145),D145*E145*(1+IF(ISNUMBER(F145),F145,0)/100),"")</f>
        <v/>
      </c>
    </row>
    <row r="146">
      <c r="A146" s="27" t="n">
        <v>130</v>
      </c>
      <c r="B146" s="28" t="inlineStr">
        <is>
          <t>EX-130</t>
        </is>
      </c>
      <c r="C146" s="29" t="inlineStr">
        <is>
          <t>Light Fixture</t>
        </is>
      </c>
      <c r="D146" s="30">
        <f>IF(Selections!H134="",1,Selections!H134)</f>
        <v/>
      </c>
      <c r="E146" s="31">
        <f>IF(Selections!R134="","",Selections!R134)</f>
        <v/>
      </c>
      <c r="F146" s="40">
        <f>IF(Selections!S134="","",Selections!S134)</f>
        <v/>
      </c>
      <c r="G146" s="31">
        <f>IF(ISNUMBER(E146),D146*E146*(1+IF(ISNUMBER(F146),F146,0)/100),"")</f>
        <v/>
      </c>
    </row>
    <row r="147">
      <c r="A147" s="27" t="n">
        <v>131</v>
      </c>
      <c r="B147" s="28" t="inlineStr">
        <is>
          <t>EX-131</t>
        </is>
      </c>
      <c r="C147" s="29" t="inlineStr">
        <is>
          <t>Interior Door</t>
        </is>
      </c>
      <c r="D147" s="30">
        <f>IF(Selections!H135="",1,Selections!H135)</f>
        <v/>
      </c>
      <c r="E147" s="31">
        <f>IF(Selections!R135="","",Selections!R135)</f>
        <v/>
      </c>
      <c r="F147" s="40">
        <f>IF(Selections!S135="","",Selections!S135)</f>
        <v/>
      </c>
      <c r="G147" s="31">
        <f>IF(ISNUMBER(E147),D147*E147*(1+IF(ISNUMBER(F147),F147,0)/100),"")</f>
        <v/>
      </c>
    </row>
    <row r="148">
      <c r="A148" s="27" t="n">
        <v>132</v>
      </c>
      <c r="B148" s="28" t="inlineStr">
        <is>
          <t>EX-132</t>
        </is>
      </c>
      <c r="C148" s="29" t="inlineStr">
        <is>
          <t>Door Stopper</t>
        </is>
      </c>
      <c r="D148" s="30">
        <f>IF(Selections!H136="",1,Selections!H136)</f>
        <v/>
      </c>
      <c r="E148" s="31">
        <f>IF(Selections!R136="","",Selections!R136)</f>
        <v/>
      </c>
      <c r="F148" s="40">
        <f>IF(Selections!S136="","",Selections!S136)</f>
        <v/>
      </c>
      <c r="G148" s="31">
        <f>IF(ISNUMBER(E148),D148*E148*(1+IF(ISNUMBER(F148),F148,0)/100),"")</f>
        <v/>
      </c>
    </row>
    <row r="149">
      <c r="A149" s="27" t="n">
        <v>133</v>
      </c>
      <c r="B149" s="28" t="inlineStr">
        <is>
          <t>EX-133</t>
        </is>
      </c>
      <c r="C149" s="29" t="inlineStr">
        <is>
          <t>Walls</t>
        </is>
      </c>
      <c r="D149" s="30">
        <f>IF(Selections!H137="",1,Selections!H137)</f>
        <v/>
      </c>
      <c r="E149" s="31">
        <f>IF(Selections!R137="","",Selections!R137)</f>
        <v/>
      </c>
      <c r="F149" s="40">
        <f>IF(Selections!S137="","",Selections!S137)</f>
        <v/>
      </c>
      <c r="G149" s="31">
        <f>IF(ISNUMBER(E149),D149*E149*(1+IF(ISNUMBER(F149),F149,0)/100),"")</f>
        <v/>
      </c>
    </row>
    <row r="150">
      <c r="C150" s="32" t="inlineStr">
        <is>
          <t>1st Floor subtotal</t>
        </is>
      </c>
      <c r="G150" s="33">
        <f>SUM(G22:G149)</f>
        <v/>
      </c>
    </row>
    <row r="151">
      <c r="A151" s="26" t="inlineStr">
        <is>
          <t>2ND FLOOR</t>
        </is>
      </c>
    </row>
    <row r="152">
      <c r="A152" s="27" t="n">
        <v>134</v>
      </c>
      <c r="B152" s="28" t="inlineStr">
        <is>
          <t>EX-134</t>
        </is>
      </c>
      <c r="C152" s="29" t="inlineStr">
        <is>
          <t>Flooring</t>
        </is>
      </c>
      <c r="D152" s="30">
        <f>IF(Selections!H138="",1,Selections!H138)</f>
        <v/>
      </c>
      <c r="E152" s="31">
        <f>IF(Selections!R138="","",Selections!R138)</f>
        <v/>
      </c>
      <c r="F152" s="40">
        <f>IF(Selections!S138="","",Selections!S138)</f>
        <v/>
      </c>
      <c r="G152" s="31">
        <f>IF(ISNUMBER(E152),D152*E152*(1+IF(ISNUMBER(F152),F152,0)/100),"")</f>
        <v/>
      </c>
    </row>
    <row r="153">
      <c r="A153" s="27" t="n">
        <v>135</v>
      </c>
      <c r="B153" s="28" t="inlineStr">
        <is>
          <t>EX-135</t>
        </is>
      </c>
      <c r="C153" s="29" t="inlineStr">
        <is>
          <t>Light Fixture - Fan</t>
        </is>
      </c>
      <c r="D153" s="30">
        <f>IF(Selections!H139="",1,Selections!H139)</f>
        <v/>
      </c>
      <c r="E153" s="31">
        <f>IF(Selections!R139="","",Selections!R139)</f>
        <v/>
      </c>
      <c r="F153" s="40">
        <f>IF(Selections!S139="","",Selections!S139)</f>
        <v/>
      </c>
      <c r="G153" s="31">
        <f>IF(ISNUMBER(E153),D153*E153*(1+IF(ISNUMBER(F153),F153,0)/100),"")</f>
        <v/>
      </c>
    </row>
    <row r="154">
      <c r="A154" s="27" t="n">
        <v>136</v>
      </c>
      <c r="B154" s="28" t="inlineStr">
        <is>
          <t>EX-136</t>
        </is>
      </c>
      <c r="C154" s="29" t="inlineStr">
        <is>
          <t>Interior Door</t>
        </is>
      </c>
      <c r="D154" s="30">
        <f>IF(Selections!H140="",1,Selections!H140)</f>
        <v/>
      </c>
      <c r="E154" s="31">
        <f>IF(Selections!R140="","",Selections!R140)</f>
        <v/>
      </c>
      <c r="F154" s="40">
        <f>IF(Selections!S140="","",Selections!S140)</f>
        <v/>
      </c>
      <c r="G154" s="31">
        <f>IF(ISNUMBER(E154),D154*E154*(1+IF(ISNUMBER(F154),F154,0)/100),"")</f>
        <v/>
      </c>
    </row>
    <row r="155">
      <c r="A155" s="27" t="n">
        <v>137</v>
      </c>
      <c r="B155" s="28" t="inlineStr">
        <is>
          <t>EX-137</t>
        </is>
      </c>
      <c r="C155" s="29" t="inlineStr">
        <is>
          <t>Door Stopper</t>
        </is>
      </c>
      <c r="D155" s="30">
        <f>IF(Selections!H141="",1,Selections!H141)</f>
        <v/>
      </c>
      <c r="E155" s="31">
        <f>IF(Selections!R141="","",Selections!R141)</f>
        <v/>
      </c>
      <c r="F155" s="40">
        <f>IF(Selections!S141="","",Selections!S141)</f>
        <v/>
      </c>
      <c r="G155" s="31">
        <f>IF(ISNUMBER(E155),D155*E155*(1+IF(ISNUMBER(F155),F155,0)/100),"")</f>
        <v/>
      </c>
    </row>
    <row r="156">
      <c r="A156" s="27" t="n">
        <v>138</v>
      </c>
      <c r="B156" s="28" t="inlineStr">
        <is>
          <t>EX-138</t>
        </is>
      </c>
      <c r="C156" s="29" t="inlineStr">
        <is>
          <t>Flooring - Bath</t>
        </is>
      </c>
      <c r="D156" s="30">
        <f>IF(Selections!H142="",1,Selections!H142)</f>
        <v/>
      </c>
      <c r="E156" s="31">
        <f>IF(Selections!R142="","",Selections!R142)</f>
        <v/>
      </c>
      <c r="F156" s="40">
        <f>IF(Selections!S142="","",Selections!S142)</f>
        <v/>
      </c>
      <c r="G156" s="31">
        <f>IF(ISNUMBER(E156),D156*E156*(1+IF(ISNUMBER(F156),F156,0)/100),"")</f>
        <v/>
      </c>
    </row>
    <row r="157">
      <c r="A157" s="27" t="n">
        <v>139</v>
      </c>
      <c r="B157" s="28" t="inlineStr">
        <is>
          <t>EX-139</t>
        </is>
      </c>
      <c r="C157" s="29" t="inlineStr">
        <is>
          <t>Flooring - Shower Floor</t>
        </is>
      </c>
      <c r="D157" s="30">
        <f>IF(Selections!H143="",1,Selections!H143)</f>
        <v/>
      </c>
      <c r="E157" s="31">
        <f>IF(Selections!R143="","",Selections!R143)</f>
        <v/>
      </c>
      <c r="F157" s="40">
        <f>IF(Selections!S143="","",Selections!S143)</f>
        <v/>
      </c>
      <c r="G157" s="31">
        <f>IF(ISNUMBER(E157),D157*E157*(1+IF(ISNUMBER(F157),F157,0)/100),"")</f>
        <v/>
      </c>
    </row>
    <row r="158">
      <c r="A158" s="27" t="n">
        <v>140</v>
      </c>
      <c r="B158" s="28" t="inlineStr">
        <is>
          <t>EX-140</t>
        </is>
      </c>
      <c r="C158" s="29" t="inlineStr">
        <is>
          <t>Backsplash - Shower</t>
        </is>
      </c>
      <c r="D158" s="30">
        <f>IF(Selections!H144="",1,Selections!H144)</f>
        <v/>
      </c>
      <c r="E158" s="31">
        <f>IF(Selections!R144="","",Selections!R144)</f>
        <v/>
      </c>
      <c r="F158" s="40">
        <f>IF(Selections!S144="","",Selections!S144)</f>
        <v/>
      </c>
      <c r="G158" s="31">
        <f>IF(ISNUMBER(E158),D158*E158*(1+IF(ISNUMBER(F158),F158,0)/100),"")</f>
        <v/>
      </c>
    </row>
    <row r="159">
      <c r="A159" s="27" t="n">
        <v>141</v>
      </c>
      <c r="B159" s="28" t="inlineStr">
        <is>
          <t>EX-141</t>
        </is>
      </c>
      <c r="C159" s="29" t="inlineStr">
        <is>
          <t>Counter top</t>
        </is>
      </c>
      <c r="D159" s="30">
        <f>IF(Selections!H145="",1,Selections!H145)</f>
        <v/>
      </c>
      <c r="E159" s="31">
        <f>IF(Selections!R145="","",Selections!R145)</f>
        <v/>
      </c>
      <c r="F159" s="40">
        <f>IF(Selections!S145="","",Selections!S145)</f>
        <v/>
      </c>
      <c r="G159" s="31">
        <f>IF(ISNUMBER(E159),D159*E159*(1+IF(ISNUMBER(F159),F159,0)/100),"")</f>
        <v/>
      </c>
    </row>
    <row r="160">
      <c r="A160" s="27" t="n">
        <v>142</v>
      </c>
      <c r="B160" s="28" t="inlineStr">
        <is>
          <t>EX-142</t>
        </is>
      </c>
      <c r="C160" s="29" t="inlineStr">
        <is>
          <t>Shower Glass</t>
        </is>
      </c>
      <c r="D160" s="30">
        <f>IF(Selections!H146="",1,Selections!H146)</f>
        <v/>
      </c>
      <c r="E160" s="31">
        <f>IF(Selections!R146="","",Selections!R146)</f>
        <v/>
      </c>
      <c r="F160" s="40">
        <f>IF(Selections!S146="","",Selections!S146)</f>
        <v/>
      </c>
      <c r="G160" s="31">
        <f>IF(ISNUMBER(E160),D160*E160*(1+IF(ISNUMBER(F160),F160,0)/100),"")</f>
        <v/>
      </c>
    </row>
    <row r="161">
      <c r="A161" s="27" t="n">
        <v>143</v>
      </c>
      <c r="B161" s="28" t="inlineStr">
        <is>
          <t>EX-143</t>
        </is>
      </c>
      <c r="C161" s="29" t="inlineStr">
        <is>
          <t>Shower Head &amp; Valve</t>
        </is>
      </c>
      <c r="D161" s="30">
        <f>IF(Selections!H147="",1,Selections!H147)</f>
        <v/>
      </c>
      <c r="E161" s="31">
        <f>IF(Selections!R147="","",Selections!R147)</f>
        <v/>
      </c>
      <c r="F161" s="40">
        <f>IF(Selections!S147="","",Selections!S147)</f>
        <v/>
      </c>
      <c r="G161" s="31">
        <f>IF(ISNUMBER(E161),D161*E161*(1+IF(ISNUMBER(F161),F161,0)/100),"")</f>
        <v/>
      </c>
    </row>
    <row r="162">
      <c r="A162" s="27" t="n">
        <v>144</v>
      </c>
      <c r="B162" s="28" t="inlineStr">
        <is>
          <t>EX-144</t>
        </is>
      </c>
      <c r="C162" s="29" t="inlineStr">
        <is>
          <t>Shower Drain</t>
        </is>
      </c>
      <c r="D162" s="30">
        <f>IF(Selections!H148="",1,Selections!H148)</f>
        <v/>
      </c>
      <c r="E162" s="31">
        <f>IF(Selections!R148="","",Selections!R148)</f>
        <v/>
      </c>
      <c r="F162" s="40">
        <f>IF(Selections!S148="","",Selections!S148)</f>
        <v/>
      </c>
      <c r="G162" s="31">
        <f>IF(ISNUMBER(E162),D162*E162*(1+IF(ISNUMBER(F162),F162,0)/100),"")</f>
        <v/>
      </c>
    </row>
    <row r="163">
      <c r="A163" s="27" t="n">
        <v>145</v>
      </c>
      <c r="B163" s="28" t="inlineStr">
        <is>
          <t>EX-145</t>
        </is>
      </c>
      <c r="C163" s="29" t="inlineStr">
        <is>
          <t>Vanity Mirror</t>
        </is>
      </c>
      <c r="D163" s="30">
        <f>IF(Selections!H149="",1,Selections!H149)</f>
        <v/>
      </c>
      <c r="E163" s="31">
        <f>IF(Selections!R149="","",Selections!R149)</f>
        <v/>
      </c>
      <c r="F163" s="40">
        <f>IF(Selections!S149="","",Selections!S149)</f>
        <v/>
      </c>
      <c r="G163" s="31">
        <f>IF(ISNUMBER(E163),D163*E163*(1+IF(ISNUMBER(F163),F163,0)/100),"")</f>
        <v/>
      </c>
    </row>
    <row r="164">
      <c r="A164" s="27" t="n">
        <v>146</v>
      </c>
      <c r="B164" s="28" t="inlineStr">
        <is>
          <t>EX-146</t>
        </is>
      </c>
      <c r="C164" s="29" t="inlineStr">
        <is>
          <t>Bathroom Sink</t>
        </is>
      </c>
      <c r="D164" s="30">
        <f>IF(Selections!H150="",1,Selections!H150)</f>
        <v/>
      </c>
      <c r="E164" s="31">
        <f>IF(Selections!R150="","",Selections!R150)</f>
        <v/>
      </c>
      <c r="F164" s="40">
        <f>IF(Selections!S150="","",Selections!S150)</f>
        <v/>
      </c>
      <c r="G164" s="31">
        <f>IF(ISNUMBER(E164),D164*E164*(1+IF(ISNUMBER(F164),F164,0)/100),"")</f>
        <v/>
      </c>
    </row>
    <row r="165">
      <c r="A165" s="27" t="n">
        <v>147</v>
      </c>
      <c r="B165" s="28" t="inlineStr">
        <is>
          <t>EX-147</t>
        </is>
      </c>
      <c r="C165" s="29" t="inlineStr">
        <is>
          <t>Sink Faucet</t>
        </is>
      </c>
      <c r="D165" s="30">
        <f>IF(Selections!H151="",1,Selections!H151)</f>
        <v/>
      </c>
      <c r="E165" s="31">
        <f>IF(Selections!R151="","",Selections!R151)</f>
        <v/>
      </c>
      <c r="F165" s="40">
        <f>IF(Selections!S151="","",Selections!S151)</f>
        <v/>
      </c>
      <c r="G165" s="31">
        <f>IF(ISNUMBER(E165),D165*E165*(1+IF(ISNUMBER(F165),F165,0)/100),"")</f>
        <v/>
      </c>
    </row>
    <row r="166">
      <c r="A166" s="27" t="n">
        <v>148</v>
      </c>
      <c r="B166" s="28" t="inlineStr">
        <is>
          <t>EX-148</t>
        </is>
      </c>
      <c r="C166" s="29" t="inlineStr">
        <is>
          <t>Towel Ring</t>
        </is>
      </c>
      <c r="D166" s="30">
        <f>IF(Selections!H152="",1,Selections!H152)</f>
        <v/>
      </c>
      <c r="E166" s="31">
        <f>IF(Selections!R152="","",Selections!R152)</f>
        <v/>
      </c>
      <c r="F166" s="40">
        <f>IF(Selections!S152="","",Selections!S152)</f>
        <v/>
      </c>
      <c r="G166" s="31">
        <f>IF(ISNUMBER(E166),D166*E166*(1+IF(ISNUMBER(F166),F166,0)/100),"")</f>
        <v/>
      </c>
    </row>
    <row r="167">
      <c r="A167" s="27" t="n">
        <v>149</v>
      </c>
      <c r="B167" s="28" t="inlineStr">
        <is>
          <t>EX-149</t>
        </is>
      </c>
      <c r="C167" s="29" t="inlineStr">
        <is>
          <t>Towel Bar 24"</t>
        </is>
      </c>
      <c r="D167" s="30">
        <f>IF(Selections!H153="",1,Selections!H153)</f>
        <v/>
      </c>
      <c r="E167" s="31">
        <f>IF(Selections!R153="","",Selections!R153)</f>
        <v/>
      </c>
      <c r="F167" s="40">
        <f>IF(Selections!S153="","",Selections!S153)</f>
        <v/>
      </c>
      <c r="G167" s="31">
        <f>IF(ISNUMBER(E167),D167*E167*(1+IF(ISNUMBER(F167),F167,0)/100),"")</f>
        <v/>
      </c>
    </row>
    <row r="168">
      <c r="A168" s="27" t="n">
        <v>150</v>
      </c>
      <c r="B168" s="28" t="inlineStr">
        <is>
          <t>EX-150</t>
        </is>
      </c>
      <c r="C168" s="29" t="inlineStr">
        <is>
          <t>Flush Toilet</t>
        </is>
      </c>
      <c r="D168" s="30">
        <f>IF(Selections!H154="",1,Selections!H154)</f>
        <v/>
      </c>
      <c r="E168" s="31">
        <f>IF(Selections!R154="","",Selections!R154)</f>
        <v/>
      </c>
      <c r="F168" s="40">
        <f>IF(Selections!S154="","",Selections!S154)</f>
        <v/>
      </c>
      <c r="G168" s="31">
        <f>IF(ISNUMBER(E168),D168*E168*(1+IF(ISNUMBER(F168),F168,0)/100),"")</f>
        <v/>
      </c>
    </row>
    <row r="169">
      <c r="A169" s="27" t="n">
        <v>151</v>
      </c>
      <c r="B169" s="28" t="inlineStr">
        <is>
          <t>EX-151</t>
        </is>
      </c>
      <c r="C169" s="29" t="inlineStr">
        <is>
          <t>Toilet Paper Holder</t>
        </is>
      </c>
      <c r="D169" s="30">
        <f>IF(Selections!H155="",1,Selections!H155)</f>
        <v/>
      </c>
      <c r="E169" s="31">
        <f>IF(Selections!R155="","",Selections!R155)</f>
        <v/>
      </c>
      <c r="F169" s="40">
        <f>IF(Selections!S155="","",Selections!S155)</f>
        <v/>
      </c>
      <c r="G169" s="31">
        <f>IF(ISNUMBER(E169),D169*E169*(1+IF(ISNUMBER(F169),F169,0)/100),"")</f>
        <v/>
      </c>
    </row>
    <row r="170">
      <c r="A170" s="27" t="n">
        <v>152</v>
      </c>
      <c r="B170" s="28" t="inlineStr">
        <is>
          <t>EX-152</t>
        </is>
      </c>
      <c r="C170" s="29" t="inlineStr">
        <is>
          <t>Toilet Lever</t>
        </is>
      </c>
      <c r="D170" s="30">
        <f>IF(Selections!H156="",1,Selections!H156)</f>
        <v/>
      </c>
      <c r="E170" s="31">
        <f>IF(Selections!R156="","",Selections!R156)</f>
        <v/>
      </c>
      <c r="F170" s="40">
        <f>IF(Selections!S156="","",Selections!S156)</f>
        <v/>
      </c>
      <c r="G170" s="31">
        <f>IF(ISNUMBER(E170),D170*E170*(1+IF(ISNUMBER(F170),F170,0)/100),"")</f>
        <v/>
      </c>
    </row>
    <row r="171">
      <c r="A171" s="27" t="n">
        <v>153</v>
      </c>
      <c r="B171" s="28" t="inlineStr">
        <is>
          <t>EX-153</t>
        </is>
      </c>
      <c r="C171" s="29" t="inlineStr">
        <is>
          <t>Exhaust Fan</t>
        </is>
      </c>
      <c r="D171" s="30">
        <f>IF(Selections!H157="",1,Selections!H157)</f>
        <v/>
      </c>
      <c r="E171" s="31">
        <f>IF(Selections!R157="","",Selections!R157)</f>
        <v/>
      </c>
      <c r="F171" s="40">
        <f>IF(Selections!S157="","",Selections!S157)</f>
        <v/>
      </c>
      <c r="G171" s="31">
        <f>IF(ISNUMBER(E171),D171*E171*(1+IF(ISNUMBER(F171),F171,0)/100),"")</f>
        <v/>
      </c>
    </row>
    <row r="172">
      <c r="A172" s="27" t="n">
        <v>154</v>
      </c>
      <c r="B172" s="28" t="inlineStr">
        <is>
          <t>EX-154</t>
        </is>
      </c>
      <c r="C172" s="29" t="inlineStr">
        <is>
          <t>Light Fixture</t>
        </is>
      </c>
      <c r="D172" s="30">
        <f>IF(Selections!H158="",1,Selections!H158)</f>
        <v/>
      </c>
      <c r="E172" s="31">
        <f>IF(Selections!R158="","",Selections!R158)</f>
        <v/>
      </c>
      <c r="F172" s="40">
        <f>IF(Selections!S158="","",Selections!S158)</f>
        <v/>
      </c>
      <c r="G172" s="31">
        <f>IF(ISNUMBER(E172),D172*E172*(1+IF(ISNUMBER(F172),F172,0)/100),"")</f>
        <v/>
      </c>
    </row>
    <row r="173">
      <c r="A173" s="27" t="n">
        <v>155</v>
      </c>
      <c r="B173" s="28" t="inlineStr">
        <is>
          <t>EX-155</t>
        </is>
      </c>
      <c r="C173" s="29" t="inlineStr">
        <is>
          <t>Interior Door</t>
        </is>
      </c>
      <c r="D173" s="30">
        <f>IF(Selections!H159="",1,Selections!H159)</f>
        <v/>
      </c>
      <c r="E173" s="31">
        <f>IF(Selections!R159="","",Selections!R159)</f>
        <v/>
      </c>
      <c r="F173" s="40">
        <f>IF(Selections!S159="","",Selections!S159)</f>
        <v/>
      </c>
      <c r="G173" s="31">
        <f>IF(ISNUMBER(E173),D173*E173*(1+IF(ISNUMBER(F173),F173,0)/100),"")</f>
        <v/>
      </c>
    </row>
    <row r="174">
      <c r="A174" s="27" t="n">
        <v>156</v>
      </c>
      <c r="B174" s="28" t="inlineStr">
        <is>
          <t>EX-156</t>
        </is>
      </c>
      <c r="C174" s="29" t="inlineStr">
        <is>
          <t>Door Stopper</t>
        </is>
      </c>
      <c r="D174" s="30">
        <f>IF(Selections!H160="",1,Selections!H160)</f>
        <v/>
      </c>
      <c r="E174" s="31">
        <f>IF(Selections!R160="","",Selections!R160)</f>
        <v/>
      </c>
      <c r="F174" s="40">
        <f>IF(Selections!S160="","",Selections!S160)</f>
        <v/>
      </c>
      <c r="G174" s="31">
        <f>IF(ISNUMBER(E174),D174*E174*(1+IF(ISNUMBER(F174),F174,0)/100),"")</f>
        <v/>
      </c>
    </row>
    <row r="175">
      <c r="A175" s="27" t="n">
        <v>157</v>
      </c>
      <c r="B175" s="28" t="inlineStr">
        <is>
          <t>EX-157</t>
        </is>
      </c>
      <c r="C175" s="29" t="inlineStr">
        <is>
          <t>Flooring</t>
        </is>
      </c>
      <c r="D175" s="30">
        <f>IF(Selections!H161="",1,Selections!H161)</f>
        <v/>
      </c>
      <c r="E175" s="31">
        <f>IF(Selections!R161="","",Selections!R161)</f>
        <v/>
      </c>
      <c r="F175" s="40">
        <f>IF(Selections!S161="","",Selections!S161)</f>
        <v/>
      </c>
      <c r="G175" s="31">
        <f>IF(ISNUMBER(E175),D175*E175*(1+IF(ISNUMBER(F175),F175,0)/100),"")</f>
        <v/>
      </c>
    </row>
    <row r="176">
      <c r="A176" s="27" t="n">
        <v>158</v>
      </c>
      <c r="B176" s="28" t="inlineStr">
        <is>
          <t>EX-158</t>
        </is>
      </c>
      <c r="C176" s="29" t="inlineStr">
        <is>
          <t>Light Fixture - Fan</t>
        </is>
      </c>
      <c r="D176" s="30">
        <f>IF(Selections!H162="",1,Selections!H162)</f>
        <v/>
      </c>
      <c r="E176" s="31">
        <f>IF(Selections!R162="","",Selections!R162)</f>
        <v/>
      </c>
      <c r="F176" s="40">
        <f>IF(Selections!S162="","",Selections!S162)</f>
        <v/>
      </c>
      <c r="G176" s="31">
        <f>IF(ISNUMBER(E176),D176*E176*(1+IF(ISNUMBER(F176),F176,0)/100),"")</f>
        <v/>
      </c>
    </row>
    <row r="177">
      <c r="A177" s="27" t="n">
        <v>159</v>
      </c>
      <c r="B177" s="28" t="inlineStr">
        <is>
          <t>EX-159</t>
        </is>
      </c>
      <c r="C177" s="29" t="inlineStr">
        <is>
          <t>Interior Door</t>
        </is>
      </c>
      <c r="D177" s="30">
        <f>IF(Selections!H163="",1,Selections!H163)</f>
        <v/>
      </c>
      <c r="E177" s="31">
        <f>IF(Selections!R163="","",Selections!R163)</f>
        <v/>
      </c>
      <c r="F177" s="40">
        <f>IF(Selections!S163="","",Selections!S163)</f>
        <v/>
      </c>
      <c r="G177" s="31">
        <f>IF(ISNUMBER(E177),D177*E177*(1+IF(ISNUMBER(F177),F177,0)/100),"")</f>
        <v/>
      </c>
    </row>
    <row r="178">
      <c r="A178" s="27" t="n">
        <v>160</v>
      </c>
      <c r="B178" s="28" t="inlineStr">
        <is>
          <t>EX-160</t>
        </is>
      </c>
      <c r="C178" s="29" t="inlineStr">
        <is>
          <t>Door Stopper</t>
        </is>
      </c>
      <c r="D178" s="30">
        <f>IF(Selections!H164="",1,Selections!H164)</f>
        <v/>
      </c>
      <c r="E178" s="31">
        <f>IF(Selections!R164="","",Selections!R164)</f>
        <v/>
      </c>
      <c r="F178" s="40">
        <f>IF(Selections!S164="","",Selections!S164)</f>
        <v/>
      </c>
      <c r="G178" s="31">
        <f>IF(ISNUMBER(E178),D178*E178*(1+IF(ISNUMBER(F178),F178,0)/100),"")</f>
        <v/>
      </c>
    </row>
    <row r="179">
      <c r="A179" s="27" t="n">
        <v>161</v>
      </c>
      <c r="B179" s="28" t="inlineStr">
        <is>
          <t>EX-161</t>
        </is>
      </c>
      <c r="C179" s="29" t="inlineStr">
        <is>
          <t>Flooring - Bath</t>
        </is>
      </c>
      <c r="D179" s="30">
        <f>IF(Selections!H165="",1,Selections!H165)</f>
        <v/>
      </c>
      <c r="E179" s="31">
        <f>IF(Selections!R165="","",Selections!R165)</f>
        <v/>
      </c>
      <c r="F179" s="40">
        <f>IF(Selections!S165="","",Selections!S165)</f>
        <v/>
      </c>
      <c r="G179" s="31">
        <f>IF(ISNUMBER(E179),D179*E179*(1+IF(ISNUMBER(F179),F179,0)/100),"")</f>
        <v/>
      </c>
    </row>
    <row r="180">
      <c r="A180" s="27" t="n">
        <v>162</v>
      </c>
      <c r="B180" s="28" t="inlineStr">
        <is>
          <t>EX-162</t>
        </is>
      </c>
      <c r="C180" s="29" t="inlineStr">
        <is>
          <t>Flooring - Shower Floor</t>
        </is>
      </c>
      <c r="D180" s="30">
        <f>IF(Selections!H166="",1,Selections!H166)</f>
        <v/>
      </c>
      <c r="E180" s="31">
        <f>IF(Selections!R166="","",Selections!R166)</f>
        <v/>
      </c>
      <c r="F180" s="40">
        <f>IF(Selections!S166="","",Selections!S166)</f>
        <v/>
      </c>
      <c r="G180" s="31">
        <f>IF(ISNUMBER(E180),D180*E180*(1+IF(ISNUMBER(F180),F180,0)/100),"")</f>
        <v/>
      </c>
    </row>
    <row r="181">
      <c r="A181" s="27" t="n">
        <v>163</v>
      </c>
      <c r="B181" s="28" t="inlineStr">
        <is>
          <t>EX-163</t>
        </is>
      </c>
      <c r="C181" s="29" t="inlineStr">
        <is>
          <t>Backsplash - Shower</t>
        </is>
      </c>
      <c r="D181" s="30">
        <f>IF(Selections!H167="",1,Selections!H167)</f>
        <v/>
      </c>
      <c r="E181" s="31">
        <f>IF(Selections!R167="","",Selections!R167)</f>
        <v/>
      </c>
      <c r="F181" s="40">
        <f>IF(Selections!S167="","",Selections!S167)</f>
        <v/>
      </c>
      <c r="G181" s="31">
        <f>IF(ISNUMBER(E181),D181*E181*(1+IF(ISNUMBER(F181),F181,0)/100),"")</f>
        <v/>
      </c>
    </row>
    <row r="182">
      <c r="A182" s="27" t="n">
        <v>164</v>
      </c>
      <c r="B182" s="28" t="inlineStr">
        <is>
          <t>EX-164</t>
        </is>
      </c>
      <c r="C182" s="29" t="inlineStr">
        <is>
          <t>Counter top</t>
        </is>
      </c>
      <c r="D182" s="30">
        <f>IF(Selections!H168="",1,Selections!H168)</f>
        <v/>
      </c>
      <c r="E182" s="31">
        <f>IF(Selections!R168="","",Selections!R168)</f>
        <v/>
      </c>
      <c r="F182" s="40">
        <f>IF(Selections!S168="","",Selections!S168)</f>
        <v/>
      </c>
      <c r="G182" s="31">
        <f>IF(ISNUMBER(E182),D182*E182*(1+IF(ISNUMBER(F182),F182,0)/100),"")</f>
        <v/>
      </c>
    </row>
    <row r="183">
      <c r="A183" s="27" t="n">
        <v>165</v>
      </c>
      <c r="B183" s="28" t="inlineStr">
        <is>
          <t>EX-165</t>
        </is>
      </c>
      <c r="C183" s="29" t="inlineStr">
        <is>
          <t>Shower Glass</t>
        </is>
      </c>
      <c r="D183" s="30">
        <f>IF(Selections!H169="",1,Selections!H169)</f>
        <v/>
      </c>
      <c r="E183" s="31">
        <f>IF(Selections!R169="","",Selections!R169)</f>
        <v/>
      </c>
      <c r="F183" s="40">
        <f>IF(Selections!S169="","",Selections!S169)</f>
        <v/>
      </c>
      <c r="G183" s="31">
        <f>IF(ISNUMBER(E183),D183*E183*(1+IF(ISNUMBER(F183),F183,0)/100),"")</f>
        <v/>
      </c>
    </row>
    <row r="184">
      <c r="A184" s="27" t="n">
        <v>166</v>
      </c>
      <c r="B184" s="28" t="inlineStr">
        <is>
          <t>EX-166</t>
        </is>
      </c>
      <c r="C184" s="29" t="inlineStr">
        <is>
          <t>Shower Head &amp; Valve</t>
        </is>
      </c>
      <c r="D184" s="30">
        <f>IF(Selections!H170="",1,Selections!H170)</f>
        <v/>
      </c>
      <c r="E184" s="31">
        <f>IF(Selections!R170="","",Selections!R170)</f>
        <v/>
      </c>
      <c r="F184" s="40">
        <f>IF(Selections!S170="","",Selections!S170)</f>
        <v/>
      </c>
      <c r="G184" s="31">
        <f>IF(ISNUMBER(E184),D184*E184*(1+IF(ISNUMBER(F184),F184,0)/100),"")</f>
        <v/>
      </c>
    </row>
    <row r="185">
      <c r="A185" s="27" t="n">
        <v>167</v>
      </c>
      <c r="B185" s="28" t="inlineStr">
        <is>
          <t>EX-167</t>
        </is>
      </c>
      <c r="C185" s="29" t="inlineStr">
        <is>
          <t>Shower Drain</t>
        </is>
      </c>
      <c r="D185" s="30">
        <f>IF(Selections!H171="",1,Selections!H171)</f>
        <v/>
      </c>
      <c r="E185" s="31">
        <f>IF(Selections!R171="","",Selections!R171)</f>
        <v/>
      </c>
      <c r="F185" s="40">
        <f>IF(Selections!S171="","",Selections!S171)</f>
        <v/>
      </c>
      <c r="G185" s="31">
        <f>IF(ISNUMBER(E185),D185*E185*(1+IF(ISNUMBER(F185),F185,0)/100),"")</f>
        <v/>
      </c>
    </row>
    <row r="186">
      <c r="A186" s="27" t="n">
        <v>168</v>
      </c>
      <c r="B186" s="28" t="inlineStr">
        <is>
          <t>EX-168</t>
        </is>
      </c>
      <c r="C186" s="29" t="inlineStr">
        <is>
          <t>Vanity Mirror</t>
        </is>
      </c>
      <c r="D186" s="30">
        <f>IF(Selections!H172="",1,Selections!H172)</f>
        <v/>
      </c>
      <c r="E186" s="31">
        <f>IF(Selections!R172="","",Selections!R172)</f>
        <v/>
      </c>
      <c r="F186" s="40">
        <f>IF(Selections!S172="","",Selections!S172)</f>
        <v/>
      </c>
      <c r="G186" s="31">
        <f>IF(ISNUMBER(E186),D186*E186*(1+IF(ISNUMBER(F186),F186,0)/100),"")</f>
        <v/>
      </c>
    </row>
    <row r="187">
      <c r="A187" s="27" t="n">
        <v>169</v>
      </c>
      <c r="B187" s="28" t="inlineStr">
        <is>
          <t>EX-169</t>
        </is>
      </c>
      <c r="C187" s="29" t="inlineStr">
        <is>
          <t>Bathroom Sink</t>
        </is>
      </c>
      <c r="D187" s="30">
        <f>IF(Selections!H173="",1,Selections!H173)</f>
        <v/>
      </c>
      <c r="E187" s="31">
        <f>IF(Selections!R173="","",Selections!R173)</f>
        <v/>
      </c>
      <c r="F187" s="40">
        <f>IF(Selections!S173="","",Selections!S173)</f>
        <v/>
      </c>
      <c r="G187" s="31">
        <f>IF(ISNUMBER(E187),D187*E187*(1+IF(ISNUMBER(F187),F187,0)/100),"")</f>
        <v/>
      </c>
    </row>
    <row r="188">
      <c r="A188" s="27" t="n">
        <v>170</v>
      </c>
      <c r="B188" s="28" t="inlineStr">
        <is>
          <t>EX-170</t>
        </is>
      </c>
      <c r="C188" s="29" t="inlineStr">
        <is>
          <t>Sink Faucet</t>
        </is>
      </c>
      <c r="D188" s="30">
        <f>IF(Selections!H174="",1,Selections!H174)</f>
        <v/>
      </c>
      <c r="E188" s="31">
        <f>IF(Selections!R174="","",Selections!R174)</f>
        <v/>
      </c>
      <c r="F188" s="40">
        <f>IF(Selections!S174="","",Selections!S174)</f>
        <v/>
      </c>
      <c r="G188" s="31">
        <f>IF(ISNUMBER(E188),D188*E188*(1+IF(ISNUMBER(F188),F188,0)/100),"")</f>
        <v/>
      </c>
    </row>
    <row r="189">
      <c r="A189" s="27" t="n">
        <v>171</v>
      </c>
      <c r="B189" s="28" t="inlineStr">
        <is>
          <t>EX-171</t>
        </is>
      </c>
      <c r="C189" s="29" t="inlineStr">
        <is>
          <t>Towel Ring</t>
        </is>
      </c>
      <c r="D189" s="30">
        <f>IF(Selections!H175="",1,Selections!H175)</f>
        <v/>
      </c>
      <c r="E189" s="31">
        <f>IF(Selections!R175="","",Selections!R175)</f>
        <v/>
      </c>
      <c r="F189" s="40">
        <f>IF(Selections!S175="","",Selections!S175)</f>
        <v/>
      </c>
      <c r="G189" s="31">
        <f>IF(ISNUMBER(E189),D189*E189*(1+IF(ISNUMBER(F189),F189,0)/100),"")</f>
        <v/>
      </c>
    </row>
    <row r="190">
      <c r="A190" s="27" t="n">
        <v>172</v>
      </c>
      <c r="B190" s="28" t="inlineStr">
        <is>
          <t>EX-172</t>
        </is>
      </c>
      <c r="C190" s="29" t="inlineStr">
        <is>
          <t>Towel Bar 24"</t>
        </is>
      </c>
      <c r="D190" s="30">
        <f>IF(Selections!H176="",1,Selections!H176)</f>
        <v/>
      </c>
      <c r="E190" s="31">
        <f>IF(Selections!R176="","",Selections!R176)</f>
        <v/>
      </c>
      <c r="F190" s="40">
        <f>IF(Selections!S176="","",Selections!S176)</f>
        <v/>
      </c>
      <c r="G190" s="31">
        <f>IF(ISNUMBER(E190),D190*E190*(1+IF(ISNUMBER(F190),F190,0)/100),"")</f>
        <v/>
      </c>
    </row>
    <row r="191">
      <c r="A191" s="27" t="n">
        <v>173</v>
      </c>
      <c r="B191" s="28" t="inlineStr">
        <is>
          <t>EX-173</t>
        </is>
      </c>
      <c r="C191" s="29" t="inlineStr">
        <is>
          <t>Flush Toilet</t>
        </is>
      </c>
      <c r="D191" s="30">
        <f>IF(Selections!H177="",1,Selections!H177)</f>
        <v/>
      </c>
      <c r="E191" s="31">
        <f>IF(Selections!R177="","",Selections!R177)</f>
        <v/>
      </c>
      <c r="F191" s="40">
        <f>IF(Selections!S177="","",Selections!S177)</f>
        <v/>
      </c>
      <c r="G191" s="31">
        <f>IF(ISNUMBER(E191),D191*E191*(1+IF(ISNUMBER(F191),F191,0)/100),"")</f>
        <v/>
      </c>
    </row>
    <row r="192">
      <c r="A192" s="27" t="n">
        <v>174</v>
      </c>
      <c r="B192" s="28" t="inlineStr">
        <is>
          <t>EX-174</t>
        </is>
      </c>
      <c r="C192" s="29" t="inlineStr">
        <is>
          <t>Toilet Paper Holder</t>
        </is>
      </c>
      <c r="D192" s="30">
        <f>IF(Selections!H178="",1,Selections!H178)</f>
        <v/>
      </c>
      <c r="E192" s="31">
        <f>IF(Selections!R178="","",Selections!R178)</f>
        <v/>
      </c>
      <c r="F192" s="40">
        <f>IF(Selections!S178="","",Selections!S178)</f>
        <v/>
      </c>
      <c r="G192" s="31">
        <f>IF(ISNUMBER(E192),D192*E192*(1+IF(ISNUMBER(F192),F192,0)/100),"")</f>
        <v/>
      </c>
    </row>
    <row r="193">
      <c r="A193" s="27" t="n">
        <v>175</v>
      </c>
      <c r="B193" s="28" t="inlineStr">
        <is>
          <t>EX-175</t>
        </is>
      </c>
      <c r="C193" s="29" t="inlineStr">
        <is>
          <t>Toilet Lever</t>
        </is>
      </c>
      <c r="D193" s="30">
        <f>IF(Selections!H179="",1,Selections!H179)</f>
        <v/>
      </c>
      <c r="E193" s="31">
        <f>IF(Selections!R179="","",Selections!R179)</f>
        <v/>
      </c>
      <c r="F193" s="40">
        <f>IF(Selections!S179="","",Selections!S179)</f>
        <v/>
      </c>
      <c r="G193" s="31">
        <f>IF(ISNUMBER(E193),D193*E193*(1+IF(ISNUMBER(F193),F193,0)/100),"")</f>
        <v/>
      </c>
    </row>
    <row r="194">
      <c r="A194" s="27" t="n">
        <v>176</v>
      </c>
      <c r="B194" s="28" t="inlineStr">
        <is>
          <t>EX-176</t>
        </is>
      </c>
      <c r="C194" s="29" t="inlineStr">
        <is>
          <t>Exhaust Fan</t>
        </is>
      </c>
      <c r="D194" s="30">
        <f>IF(Selections!H180="",1,Selections!H180)</f>
        <v/>
      </c>
      <c r="E194" s="31">
        <f>IF(Selections!R180="","",Selections!R180)</f>
        <v/>
      </c>
      <c r="F194" s="40">
        <f>IF(Selections!S180="","",Selections!S180)</f>
        <v/>
      </c>
      <c r="G194" s="31">
        <f>IF(ISNUMBER(E194),D194*E194*(1+IF(ISNUMBER(F194),F194,0)/100),"")</f>
        <v/>
      </c>
    </row>
    <row r="195">
      <c r="A195" s="27" t="n">
        <v>177</v>
      </c>
      <c r="B195" s="28" t="inlineStr">
        <is>
          <t>EX-177</t>
        </is>
      </c>
      <c r="C195" s="29" t="inlineStr">
        <is>
          <t>Light Fixture</t>
        </is>
      </c>
      <c r="D195" s="30">
        <f>IF(Selections!H181="",1,Selections!H181)</f>
        <v/>
      </c>
      <c r="E195" s="31">
        <f>IF(Selections!R181="","",Selections!R181)</f>
        <v/>
      </c>
      <c r="F195" s="40">
        <f>IF(Selections!S181="","",Selections!S181)</f>
        <v/>
      </c>
      <c r="G195" s="31">
        <f>IF(ISNUMBER(E195),D195*E195*(1+IF(ISNUMBER(F195),F195,0)/100),"")</f>
        <v/>
      </c>
    </row>
    <row r="196">
      <c r="A196" s="27" t="n">
        <v>178</v>
      </c>
      <c r="B196" s="28" t="inlineStr">
        <is>
          <t>EX-178</t>
        </is>
      </c>
      <c r="C196" s="29" t="inlineStr">
        <is>
          <t>Interior Door</t>
        </is>
      </c>
      <c r="D196" s="30">
        <f>IF(Selections!H182="",1,Selections!H182)</f>
        <v/>
      </c>
      <c r="E196" s="31">
        <f>IF(Selections!R182="","",Selections!R182)</f>
        <v/>
      </c>
      <c r="F196" s="40">
        <f>IF(Selections!S182="","",Selections!S182)</f>
        <v/>
      </c>
      <c r="G196" s="31">
        <f>IF(ISNUMBER(E196),D196*E196*(1+IF(ISNUMBER(F196),F196,0)/100),"")</f>
        <v/>
      </c>
    </row>
    <row r="197">
      <c r="A197" s="27" t="n">
        <v>179</v>
      </c>
      <c r="B197" s="28" t="inlineStr">
        <is>
          <t>EX-179</t>
        </is>
      </c>
      <c r="C197" s="29" t="inlineStr">
        <is>
          <t>Door Stopper</t>
        </is>
      </c>
      <c r="D197" s="30">
        <f>IF(Selections!H183="",1,Selections!H183)</f>
        <v/>
      </c>
      <c r="E197" s="31">
        <f>IF(Selections!R183="","",Selections!R183)</f>
        <v/>
      </c>
      <c r="F197" s="40">
        <f>IF(Selections!S183="","",Selections!S183)</f>
        <v/>
      </c>
      <c r="G197" s="31">
        <f>IF(ISNUMBER(E197),D197*E197*(1+IF(ISNUMBER(F197),F197,0)/100),"")</f>
        <v/>
      </c>
    </row>
    <row r="198">
      <c r="A198" s="27" t="n">
        <v>180</v>
      </c>
      <c r="B198" s="28" t="inlineStr">
        <is>
          <t>EX-180</t>
        </is>
      </c>
      <c r="C198" s="29" t="inlineStr">
        <is>
          <t>Flooring</t>
        </is>
      </c>
      <c r="D198" s="30">
        <f>IF(Selections!H184="",1,Selections!H184)</f>
        <v/>
      </c>
      <c r="E198" s="31">
        <f>IF(Selections!R184="","",Selections!R184)</f>
        <v/>
      </c>
      <c r="F198" s="40">
        <f>IF(Selections!S184="","",Selections!S184)</f>
        <v/>
      </c>
      <c r="G198" s="31">
        <f>IF(ISNUMBER(E198),D198*E198*(1+IF(ISNUMBER(F198),F198,0)/100),"")</f>
        <v/>
      </c>
    </row>
    <row r="199">
      <c r="A199" s="27" t="n">
        <v>181</v>
      </c>
      <c r="B199" s="28" t="inlineStr">
        <is>
          <t>EX-181</t>
        </is>
      </c>
      <c r="C199" s="29" t="inlineStr">
        <is>
          <t>Light Fixture - Fan</t>
        </is>
      </c>
      <c r="D199" s="30">
        <f>IF(Selections!H185="",1,Selections!H185)</f>
        <v/>
      </c>
      <c r="E199" s="31">
        <f>IF(Selections!R185="","",Selections!R185)</f>
        <v/>
      </c>
      <c r="F199" s="40">
        <f>IF(Selections!S185="","",Selections!S185)</f>
        <v/>
      </c>
      <c r="G199" s="31">
        <f>IF(ISNUMBER(E199),D199*E199*(1+IF(ISNUMBER(F199),F199,0)/100),"")</f>
        <v/>
      </c>
    </row>
    <row r="200">
      <c r="A200" s="27" t="n">
        <v>182</v>
      </c>
      <c r="B200" s="28" t="inlineStr">
        <is>
          <t>EX-182</t>
        </is>
      </c>
      <c r="C200" s="29" t="inlineStr">
        <is>
          <t>Interior Door</t>
        </is>
      </c>
      <c r="D200" s="30">
        <f>IF(Selections!H186="",1,Selections!H186)</f>
        <v/>
      </c>
      <c r="E200" s="31">
        <f>IF(Selections!R186="","",Selections!R186)</f>
        <v/>
      </c>
      <c r="F200" s="40">
        <f>IF(Selections!S186="","",Selections!S186)</f>
        <v/>
      </c>
      <c r="G200" s="31">
        <f>IF(ISNUMBER(E200),D200*E200*(1+IF(ISNUMBER(F200),F200,0)/100),"")</f>
        <v/>
      </c>
    </row>
    <row r="201">
      <c r="A201" s="27" t="n">
        <v>183</v>
      </c>
      <c r="B201" s="28" t="inlineStr">
        <is>
          <t>EX-183</t>
        </is>
      </c>
      <c r="C201" s="29" t="inlineStr">
        <is>
          <t>Door Stopper</t>
        </is>
      </c>
      <c r="D201" s="30">
        <f>IF(Selections!H187="",1,Selections!H187)</f>
        <v/>
      </c>
      <c r="E201" s="31">
        <f>IF(Selections!R187="","",Selections!R187)</f>
        <v/>
      </c>
      <c r="F201" s="40">
        <f>IF(Selections!S187="","",Selections!S187)</f>
        <v/>
      </c>
      <c r="G201" s="31">
        <f>IF(ISNUMBER(E201),D201*E201*(1+IF(ISNUMBER(F201),F201,0)/100),"")</f>
        <v/>
      </c>
    </row>
    <row r="202">
      <c r="A202" s="27" t="n">
        <v>184</v>
      </c>
      <c r="B202" s="28" t="inlineStr">
        <is>
          <t>EX-184</t>
        </is>
      </c>
      <c r="C202" s="29" t="inlineStr">
        <is>
          <t>Flooring - Bath</t>
        </is>
      </c>
      <c r="D202" s="30">
        <f>IF(Selections!H188="",1,Selections!H188)</f>
        <v/>
      </c>
      <c r="E202" s="31">
        <f>IF(Selections!R188="","",Selections!R188)</f>
        <v/>
      </c>
      <c r="F202" s="40">
        <f>IF(Selections!S188="","",Selections!S188)</f>
        <v/>
      </c>
      <c r="G202" s="31">
        <f>IF(ISNUMBER(E202),D202*E202*(1+IF(ISNUMBER(F202),F202,0)/100),"")</f>
        <v/>
      </c>
    </row>
    <row r="203">
      <c r="A203" s="27" t="n">
        <v>185</v>
      </c>
      <c r="B203" s="28" t="inlineStr">
        <is>
          <t>EX-185</t>
        </is>
      </c>
      <c r="C203" s="29" t="inlineStr">
        <is>
          <t>Flooring - Shower Floor</t>
        </is>
      </c>
      <c r="D203" s="30">
        <f>IF(Selections!H189="",1,Selections!H189)</f>
        <v/>
      </c>
      <c r="E203" s="31">
        <f>IF(Selections!R189="","",Selections!R189)</f>
        <v/>
      </c>
      <c r="F203" s="40">
        <f>IF(Selections!S189="","",Selections!S189)</f>
        <v/>
      </c>
      <c r="G203" s="31">
        <f>IF(ISNUMBER(E203),D203*E203*(1+IF(ISNUMBER(F203),F203,0)/100),"")</f>
        <v/>
      </c>
    </row>
    <row r="204">
      <c r="A204" s="27" t="n">
        <v>186</v>
      </c>
      <c r="B204" s="28" t="inlineStr">
        <is>
          <t>EX-186</t>
        </is>
      </c>
      <c r="C204" s="29" t="inlineStr">
        <is>
          <t>Backsplash - Shower</t>
        </is>
      </c>
      <c r="D204" s="30">
        <f>IF(Selections!H190="",1,Selections!H190)</f>
        <v/>
      </c>
      <c r="E204" s="31">
        <f>IF(Selections!R190="","",Selections!R190)</f>
        <v/>
      </c>
      <c r="F204" s="40">
        <f>IF(Selections!S190="","",Selections!S190)</f>
        <v/>
      </c>
      <c r="G204" s="31">
        <f>IF(ISNUMBER(E204),D204*E204*(1+IF(ISNUMBER(F204),F204,0)/100),"")</f>
        <v/>
      </c>
    </row>
    <row r="205">
      <c r="A205" s="27" t="n">
        <v>187</v>
      </c>
      <c r="B205" s="28" t="inlineStr">
        <is>
          <t>EX-187</t>
        </is>
      </c>
      <c r="C205" s="29" t="inlineStr">
        <is>
          <t>Flooring - WIC</t>
        </is>
      </c>
      <c r="D205" s="30">
        <f>IF(Selections!H191="",1,Selections!H191)</f>
        <v/>
      </c>
      <c r="E205" s="31">
        <f>IF(Selections!R191="","",Selections!R191)</f>
        <v/>
      </c>
      <c r="F205" s="40">
        <f>IF(Selections!S191="","",Selections!S191)</f>
        <v/>
      </c>
      <c r="G205" s="31">
        <f>IF(ISNUMBER(E205),D205*E205*(1+IF(ISNUMBER(F205),F205,0)/100),"")</f>
        <v/>
      </c>
    </row>
    <row r="206">
      <c r="A206" s="27" t="n">
        <v>188</v>
      </c>
      <c r="B206" s="28" t="inlineStr">
        <is>
          <t>EX-188</t>
        </is>
      </c>
      <c r="C206" s="29" t="inlineStr">
        <is>
          <t>Counter top</t>
        </is>
      </c>
      <c r="D206" s="30">
        <f>IF(Selections!H192="",1,Selections!H192)</f>
        <v/>
      </c>
      <c r="E206" s="31">
        <f>IF(Selections!R192="","",Selections!R192)</f>
        <v/>
      </c>
      <c r="F206" s="40">
        <f>IF(Selections!S192="","",Selections!S192)</f>
        <v/>
      </c>
      <c r="G206" s="31">
        <f>IF(ISNUMBER(E206),D206*E206*(1+IF(ISNUMBER(F206),F206,0)/100),"")</f>
        <v/>
      </c>
    </row>
    <row r="207">
      <c r="A207" s="27" t="n">
        <v>189</v>
      </c>
      <c r="B207" s="28" t="inlineStr">
        <is>
          <t>EX-189</t>
        </is>
      </c>
      <c r="C207" s="29" t="inlineStr">
        <is>
          <t>Shower Glass</t>
        </is>
      </c>
      <c r="D207" s="30">
        <f>IF(Selections!H193="",1,Selections!H193)</f>
        <v/>
      </c>
      <c r="E207" s="31">
        <f>IF(Selections!R193="","",Selections!R193)</f>
        <v/>
      </c>
      <c r="F207" s="40">
        <f>IF(Selections!S193="","",Selections!S193)</f>
        <v/>
      </c>
      <c r="G207" s="31">
        <f>IF(ISNUMBER(E207),D207*E207*(1+IF(ISNUMBER(F207),F207,0)/100),"")</f>
        <v/>
      </c>
    </row>
    <row r="208">
      <c r="A208" s="27" t="n">
        <v>190</v>
      </c>
      <c r="B208" s="28" t="inlineStr">
        <is>
          <t>EX-190</t>
        </is>
      </c>
      <c r="C208" s="29" t="inlineStr">
        <is>
          <t>Shower Head &amp; Valve</t>
        </is>
      </c>
      <c r="D208" s="30">
        <f>IF(Selections!H194="",1,Selections!H194)</f>
        <v/>
      </c>
      <c r="E208" s="31">
        <f>IF(Selections!R194="","",Selections!R194)</f>
        <v/>
      </c>
      <c r="F208" s="40">
        <f>IF(Selections!S194="","",Selections!S194)</f>
        <v/>
      </c>
      <c r="G208" s="31">
        <f>IF(ISNUMBER(E208),D208*E208*(1+IF(ISNUMBER(F208),F208,0)/100),"")</f>
        <v/>
      </c>
    </row>
    <row r="209">
      <c r="A209" s="27" t="n">
        <v>191</v>
      </c>
      <c r="B209" s="28" t="inlineStr">
        <is>
          <t>EX-191</t>
        </is>
      </c>
      <c r="C209" s="29" t="inlineStr">
        <is>
          <t>Shower Drain</t>
        </is>
      </c>
      <c r="D209" s="30">
        <f>IF(Selections!H195="",1,Selections!H195)</f>
        <v/>
      </c>
      <c r="E209" s="31">
        <f>IF(Selections!R195="","",Selections!R195)</f>
        <v/>
      </c>
      <c r="F209" s="40">
        <f>IF(Selections!S195="","",Selections!S195)</f>
        <v/>
      </c>
      <c r="G209" s="31">
        <f>IF(ISNUMBER(E209),D209*E209*(1+IF(ISNUMBER(F209),F209,0)/100),"")</f>
        <v/>
      </c>
    </row>
    <row r="210">
      <c r="A210" s="27" t="n">
        <v>192</v>
      </c>
      <c r="B210" s="28" t="inlineStr">
        <is>
          <t>EX-192</t>
        </is>
      </c>
      <c r="C210" s="29" t="inlineStr">
        <is>
          <t>Vanity Mirror</t>
        </is>
      </c>
      <c r="D210" s="30">
        <f>IF(Selections!H196="",1,Selections!H196)</f>
        <v/>
      </c>
      <c r="E210" s="31">
        <f>IF(Selections!R196="","",Selections!R196)</f>
        <v/>
      </c>
      <c r="F210" s="40">
        <f>IF(Selections!S196="","",Selections!S196)</f>
        <v/>
      </c>
      <c r="G210" s="31">
        <f>IF(ISNUMBER(E210),D210*E210*(1+IF(ISNUMBER(F210),F210,0)/100),"")</f>
        <v/>
      </c>
    </row>
    <row r="211">
      <c r="A211" s="27" t="n">
        <v>193</v>
      </c>
      <c r="B211" s="28" t="inlineStr">
        <is>
          <t>EX-193</t>
        </is>
      </c>
      <c r="C211" s="29" t="inlineStr">
        <is>
          <t>Bathroom Sink</t>
        </is>
      </c>
      <c r="D211" s="30">
        <f>IF(Selections!H197="",1,Selections!H197)</f>
        <v/>
      </c>
      <c r="E211" s="31">
        <f>IF(Selections!R197="","",Selections!R197)</f>
        <v/>
      </c>
      <c r="F211" s="40">
        <f>IF(Selections!S197="","",Selections!S197)</f>
        <v/>
      </c>
      <c r="G211" s="31">
        <f>IF(ISNUMBER(E211),D211*E211*(1+IF(ISNUMBER(F211),F211,0)/100),"")</f>
        <v/>
      </c>
    </row>
    <row r="212">
      <c r="A212" s="27" t="n">
        <v>194</v>
      </c>
      <c r="B212" s="28" t="inlineStr">
        <is>
          <t>EX-194</t>
        </is>
      </c>
      <c r="C212" s="29" t="inlineStr">
        <is>
          <t>Sink Faucet</t>
        </is>
      </c>
      <c r="D212" s="30">
        <f>IF(Selections!H198="",1,Selections!H198)</f>
        <v/>
      </c>
      <c r="E212" s="31">
        <f>IF(Selections!R198="","",Selections!R198)</f>
        <v/>
      </c>
      <c r="F212" s="40">
        <f>IF(Selections!S198="","",Selections!S198)</f>
        <v/>
      </c>
      <c r="G212" s="31">
        <f>IF(ISNUMBER(E212),D212*E212*(1+IF(ISNUMBER(F212),F212,0)/100),"")</f>
        <v/>
      </c>
    </row>
    <row r="213">
      <c r="A213" s="27" t="n">
        <v>195</v>
      </c>
      <c r="B213" s="28" t="inlineStr">
        <is>
          <t>EX-195</t>
        </is>
      </c>
      <c r="C213" s="29" t="inlineStr">
        <is>
          <t>Towel Ring</t>
        </is>
      </c>
      <c r="D213" s="30">
        <f>IF(Selections!H199="",1,Selections!H199)</f>
        <v/>
      </c>
      <c r="E213" s="31">
        <f>IF(Selections!R199="","",Selections!R199)</f>
        <v/>
      </c>
      <c r="F213" s="40">
        <f>IF(Selections!S199="","",Selections!S199)</f>
        <v/>
      </c>
      <c r="G213" s="31">
        <f>IF(ISNUMBER(E213),D213*E213*(1+IF(ISNUMBER(F213),F213,0)/100),"")</f>
        <v/>
      </c>
    </row>
    <row r="214">
      <c r="A214" s="27" t="n">
        <v>196</v>
      </c>
      <c r="B214" s="28" t="inlineStr">
        <is>
          <t>EX-196</t>
        </is>
      </c>
      <c r="C214" s="29" t="inlineStr">
        <is>
          <t>Towel Bar 24"</t>
        </is>
      </c>
      <c r="D214" s="30">
        <f>IF(Selections!H200="",1,Selections!H200)</f>
        <v/>
      </c>
      <c r="E214" s="31">
        <f>IF(Selections!R200="","",Selections!R200)</f>
        <v/>
      </c>
      <c r="F214" s="40">
        <f>IF(Selections!S200="","",Selections!S200)</f>
        <v/>
      </c>
      <c r="G214" s="31">
        <f>IF(ISNUMBER(E214),D214*E214*(1+IF(ISNUMBER(F214),F214,0)/100),"")</f>
        <v/>
      </c>
    </row>
    <row r="215">
      <c r="A215" s="27" t="n">
        <v>197</v>
      </c>
      <c r="B215" s="28" t="inlineStr">
        <is>
          <t>EX-197</t>
        </is>
      </c>
      <c r="C215" s="29" t="inlineStr">
        <is>
          <t>Flush Toilet</t>
        </is>
      </c>
      <c r="D215" s="30">
        <f>IF(Selections!H201="",1,Selections!H201)</f>
        <v/>
      </c>
      <c r="E215" s="31">
        <f>IF(Selections!R201="","",Selections!R201)</f>
        <v/>
      </c>
      <c r="F215" s="40">
        <f>IF(Selections!S201="","",Selections!S201)</f>
        <v/>
      </c>
      <c r="G215" s="31">
        <f>IF(ISNUMBER(E215),D215*E215*(1+IF(ISNUMBER(F215),F215,0)/100),"")</f>
        <v/>
      </c>
    </row>
    <row r="216">
      <c r="A216" s="27" t="n">
        <v>198</v>
      </c>
      <c r="B216" s="28" t="inlineStr">
        <is>
          <t>EX-198</t>
        </is>
      </c>
      <c r="C216" s="29" t="inlineStr">
        <is>
          <t>Toilet Paper Holder</t>
        </is>
      </c>
      <c r="D216" s="30">
        <f>IF(Selections!H202="",1,Selections!H202)</f>
        <v/>
      </c>
      <c r="E216" s="31">
        <f>IF(Selections!R202="","",Selections!R202)</f>
        <v/>
      </c>
      <c r="F216" s="40">
        <f>IF(Selections!S202="","",Selections!S202)</f>
        <v/>
      </c>
      <c r="G216" s="31">
        <f>IF(ISNUMBER(E216),D216*E216*(1+IF(ISNUMBER(F216),F216,0)/100),"")</f>
        <v/>
      </c>
    </row>
    <row r="217">
      <c r="A217" s="27" t="n">
        <v>199</v>
      </c>
      <c r="B217" s="28" t="inlineStr">
        <is>
          <t>EX-199</t>
        </is>
      </c>
      <c r="C217" s="29" t="inlineStr">
        <is>
          <t>Toilet Lever</t>
        </is>
      </c>
      <c r="D217" s="30">
        <f>IF(Selections!H203="",1,Selections!H203)</f>
        <v/>
      </c>
      <c r="E217" s="31">
        <f>IF(Selections!R203="","",Selections!R203)</f>
        <v/>
      </c>
      <c r="F217" s="40">
        <f>IF(Selections!S203="","",Selections!S203)</f>
        <v/>
      </c>
      <c r="G217" s="31">
        <f>IF(ISNUMBER(E217),D217*E217*(1+IF(ISNUMBER(F217),F217,0)/100),"")</f>
        <v/>
      </c>
    </row>
    <row r="218">
      <c r="A218" s="27" t="n">
        <v>200</v>
      </c>
      <c r="B218" s="28" t="inlineStr">
        <is>
          <t>EX-200</t>
        </is>
      </c>
      <c r="C218" s="29" t="inlineStr">
        <is>
          <t>Exhaust Fan</t>
        </is>
      </c>
      <c r="D218" s="30">
        <f>IF(Selections!H204="",1,Selections!H204)</f>
        <v/>
      </c>
      <c r="E218" s="31">
        <f>IF(Selections!R204="","",Selections!R204)</f>
        <v/>
      </c>
      <c r="F218" s="40">
        <f>IF(Selections!S204="","",Selections!S204)</f>
        <v/>
      </c>
      <c r="G218" s="31">
        <f>IF(ISNUMBER(E218),D218*E218*(1+IF(ISNUMBER(F218),F218,0)/100),"")</f>
        <v/>
      </c>
    </row>
    <row r="219">
      <c r="A219" s="27" t="n">
        <v>201</v>
      </c>
      <c r="B219" s="28" t="inlineStr">
        <is>
          <t>EX-201</t>
        </is>
      </c>
      <c r="C219" s="29" t="inlineStr">
        <is>
          <t>Light Fixture</t>
        </is>
      </c>
      <c r="D219" s="30">
        <f>IF(Selections!H205="",1,Selections!H205)</f>
        <v/>
      </c>
      <c r="E219" s="31">
        <f>IF(Selections!R205="","",Selections!R205)</f>
        <v/>
      </c>
      <c r="F219" s="40">
        <f>IF(Selections!S205="","",Selections!S205)</f>
        <v/>
      </c>
      <c r="G219" s="31">
        <f>IF(ISNUMBER(E219),D219*E219*(1+IF(ISNUMBER(F219),F219,0)/100),"")</f>
        <v/>
      </c>
    </row>
    <row r="220">
      <c r="A220" s="27" t="n">
        <v>202</v>
      </c>
      <c r="B220" s="28" t="inlineStr">
        <is>
          <t>EX-202</t>
        </is>
      </c>
      <c r="C220" s="29" t="inlineStr">
        <is>
          <t>Interior Door</t>
        </is>
      </c>
      <c r="D220" s="30">
        <f>IF(Selections!H206="",1,Selections!H206)</f>
        <v/>
      </c>
      <c r="E220" s="31">
        <f>IF(Selections!R206="","",Selections!R206)</f>
        <v/>
      </c>
      <c r="F220" s="40">
        <f>IF(Selections!S206="","",Selections!S206)</f>
        <v/>
      </c>
      <c r="G220" s="31">
        <f>IF(ISNUMBER(E220),D220*E220*(1+IF(ISNUMBER(F220),F220,0)/100),"")</f>
        <v/>
      </c>
    </row>
    <row r="221">
      <c r="A221" s="27" t="n">
        <v>203</v>
      </c>
      <c r="B221" s="28" t="inlineStr">
        <is>
          <t>EX-203</t>
        </is>
      </c>
      <c r="C221" s="29" t="inlineStr">
        <is>
          <t>Door Stopper</t>
        </is>
      </c>
      <c r="D221" s="30">
        <f>IF(Selections!H207="",1,Selections!H207)</f>
        <v/>
      </c>
      <c r="E221" s="31">
        <f>IF(Selections!R207="","",Selections!R207)</f>
        <v/>
      </c>
      <c r="F221" s="40">
        <f>IF(Selections!S207="","",Selections!S207)</f>
        <v/>
      </c>
      <c r="G221" s="31">
        <f>IF(ISNUMBER(E221),D221*E221*(1+IF(ISNUMBER(F221),F221,0)/100),"")</f>
        <v/>
      </c>
    </row>
    <row r="222">
      <c r="A222" s="27" t="n">
        <v>204</v>
      </c>
      <c r="B222" s="28" t="inlineStr">
        <is>
          <t>EX-204</t>
        </is>
      </c>
      <c r="C222" s="29" t="inlineStr">
        <is>
          <t>Flooring</t>
        </is>
      </c>
      <c r="D222" s="30">
        <f>IF(Selections!H208="",1,Selections!H208)</f>
        <v/>
      </c>
      <c r="E222" s="31">
        <f>IF(Selections!R208="","",Selections!R208)</f>
        <v/>
      </c>
      <c r="F222" s="40">
        <f>IF(Selections!S208="","",Selections!S208)</f>
        <v/>
      </c>
      <c r="G222" s="31">
        <f>IF(ISNUMBER(E222),D222*E222*(1+IF(ISNUMBER(F222),F222,0)/100),"")</f>
        <v/>
      </c>
    </row>
    <row r="223">
      <c r="A223" s="27" t="n">
        <v>205</v>
      </c>
      <c r="B223" s="28" t="inlineStr">
        <is>
          <t>EX-205</t>
        </is>
      </c>
      <c r="C223" s="29" t="inlineStr">
        <is>
          <t>Doors - Interior</t>
        </is>
      </c>
      <c r="D223" s="30">
        <f>IF(Selections!H209="",1,Selections!H209)</f>
        <v/>
      </c>
      <c r="E223" s="31">
        <f>IF(Selections!R209="","",Selections!R209)</f>
        <v/>
      </c>
      <c r="F223" s="40">
        <f>IF(Selections!S209="","",Selections!S209)</f>
        <v/>
      </c>
      <c r="G223" s="31">
        <f>IF(ISNUMBER(E223),D223*E223*(1+IF(ISNUMBER(F223),F223,0)/100),"")</f>
        <v/>
      </c>
    </row>
    <row r="224">
      <c r="A224" s="27" t="n">
        <v>206</v>
      </c>
      <c r="B224" s="28" t="inlineStr">
        <is>
          <t>EX-206</t>
        </is>
      </c>
      <c r="C224" s="29" t="inlineStr">
        <is>
          <t>Door Stopper</t>
        </is>
      </c>
      <c r="D224" s="30">
        <f>IF(Selections!H210="",1,Selections!H210)</f>
        <v/>
      </c>
      <c r="E224" s="31">
        <f>IF(Selections!R210="","",Selections!R210)</f>
        <v/>
      </c>
      <c r="F224" s="40">
        <f>IF(Selections!S210="","",Selections!S210)</f>
        <v/>
      </c>
      <c r="G224" s="31">
        <f>IF(ISNUMBER(E224),D224*E224*(1+IF(ISNUMBER(F224),F224,0)/100),"")</f>
        <v/>
      </c>
    </row>
    <row r="225">
      <c r="A225" s="27" t="n">
        <v>207</v>
      </c>
      <c r="B225" s="28" t="inlineStr">
        <is>
          <t>EX-207</t>
        </is>
      </c>
      <c r="C225" s="29" t="inlineStr">
        <is>
          <t>Balcony - Handrail</t>
        </is>
      </c>
      <c r="D225" s="30">
        <f>IF(Selections!H211="",1,Selections!H211)</f>
        <v/>
      </c>
      <c r="E225" s="31">
        <f>IF(Selections!R211="","",Selections!R211)</f>
        <v/>
      </c>
      <c r="F225" s="40">
        <f>IF(Selections!S211="","",Selections!S211)</f>
        <v/>
      </c>
      <c r="G225" s="31">
        <f>IF(ISNUMBER(E225),D225*E225*(1+IF(ISNUMBER(F225),F225,0)/100),"")</f>
        <v/>
      </c>
    </row>
    <row r="226">
      <c r="A226" s="27" t="n">
        <v>208</v>
      </c>
      <c r="B226" s="28" t="inlineStr">
        <is>
          <t>EX-208</t>
        </is>
      </c>
      <c r="C226" s="29" t="inlineStr">
        <is>
          <t>Balcony - Baluster</t>
        </is>
      </c>
      <c r="D226" s="30">
        <f>IF(Selections!H212="",1,Selections!H212)</f>
        <v/>
      </c>
      <c r="E226" s="31">
        <f>IF(Selections!R212="","",Selections!R212)</f>
        <v/>
      </c>
      <c r="F226" s="40">
        <f>IF(Selections!S212="","",Selections!S212)</f>
        <v/>
      </c>
      <c r="G226" s="31">
        <f>IF(ISNUMBER(E226),D226*E226*(1+IF(ISNUMBER(F226),F226,0)/100),"")</f>
        <v/>
      </c>
    </row>
    <row r="227">
      <c r="A227" s="27" t="n">
        <v>209</v>
      </c>
      <c r="B227" s="28" t="inlineStr">
        <is>
          <t>EX-209</t>
        </is>
      </c>
      <c r="C227" s="29" t="inlineStr">
        <is>
          <t>Balcony - Post</t>
        </is>
      </c>
      <c r="D227" s="30">
        <f>IF(Selections!H213="",1,Selections!H213)</f>
        <v/>
      </c>
      <c r="E227" s="31">
        <f>IF(Selections!R213="","",Selections!R213)</f>
        <v/>
      </c>
      <c r="F227" s="40">
        <f>IF(Selections!S213="","",Selections!S213)</f>
        <v/>
      </c>
      <c r="G227" s="31">
        <f>IF(ISNUMBER(E227),D227*E227*(1+IF(ISNUMBER(F227),F227,0)/100),"")</f>
        <v/>
      </c>
    </row>
    <row r="228">
      <c r="A228" s="27" t="n">
        <v>210</v>
      </c>
      <c r="B228" s="28" t="inlineStr">
        <is>
          <t>EX-210</t>
        </is>
      </c>
      <c r="C228" s="29" t="inlineStr">
        <is>
          <t>Flooring</t>
        </is>
      </c>
      <c r="D228" s="30">
        <f>IF(Selections!H214="",1,Selections!H214)</f>
        <v/>
      </c>
      <c r="E228" s="31">
        <f>IF(Selections!R214="","",Selections!R214)</f>
        <v/>
      </c>
      <c r="F228" s="40">
        <f>IF(Selections!S214="","",Selections!S214)</f>
        <v/>
      </c>
      <c r="G228" s="31">
        <f>IF(ISNUMBER(E228),D228*E228*(1+IF(ISNUMBER(F228),F228,0)/100),"")</f>
        <v/>
      </c>
    </row>
    <row r="229">
      <c r="A229" s="27" t="n">
        <v>211</v>
      </c>
      <c r="B229" s="28" t="inlineStr">
        <is>
          <t>EX-211</t>
        </is>
      </c>
      <c r="C229" s="29" t="inlineStr">
        <is>
          <t>Light Fixture - Fan</t>
        </is>
      </c>
      <c r="D229" s="30">
        <f>IF(Selections!H215="",1,Selections!H215)</f>
        <v/>
      </c>
      <c r="E229" s="31">
        <f>IF(Selections!R215="","",Selections!R215)</f>
        <v/>
      </c>
      <c r="F229" s="40">
        <f>IF(Selections!S215="","",Selections!S215)</f>
        <v/>
      </c>
      <c r="G229" s="31">
        <f>IF(ISNUMBER(E229),D229*E229*(1+IF(ISNUMBER(F229),F229,0)/100),"")</f>
        <v/>
      </c>
    </row>
    <row r="230">
      <c r="A230" s="27" t="n">
        <v>212</v>
      </c>
      <c r="B230" s="28" t="inlineStr">
        <is>
          <t>EX-212</t>
        </is>
      </c>
      <c r="C230" s="29" t="inlineStr">
        <is>
          <t>Interior Door</t>
        </is>
      </c>
      <c r="D230" s="30">
        <f>IF(Selections!H216="",1,Selections!H216)</f>
        <v/>
      </c>
      <c r="E230" s="31">
        <f>IF(Selections!R216="","",Selections!R216)</f>
        <v/>
      </c>
      <c r="F230" s="40">
        <f>IF(Selections!S216="","",Selections!S216)</f>
        <v/>
      </c>
      <c r="G230" s="31">
        <f>IF(ISNUMBER(E230),D230*E230*(1+IF(ISNUMBER(F230),F230,0)/100),"")</f>
        <v/>
      </c>
    </row>
    <row r="231">
      <c r="A231" s="27" t="n">
        <v>213</v>
      </c>
      <c r="B231" s="28" t="inlineStr">
        <is>
          <t>EX-213</t>
        </is>
      </c>
      <c r="C231" s="29" t="inlineStr">
        <is>
          <t>Door Stopper</t>
        </is>
      </c>
      <c r="D231" s="30">
        <f>IF(Selections!H217="",1,Selections!H217)</f>
        <v/>
      </c>
      <c r="E231" s="31">
        <f>IF(Selections!R217="","",Selections!R217)</f>
        <v/>
      </c>
      <c r="F231" s="40">
        <f>IF(Selections!S217="","",Selections!S217)</f>
        <v/>
      </c>
      <c r="G231" s="31">
        <f>IF(ISNUMBER(E231),D231*E231*(1+IF(ISNUMBER(F231),F231,0)/100),"")</f>
        <v/>
      </c>
    </row>
    <row r="232">
      <c r="A232" s="27" t="n">
        <v>214</v>
      </c>
      <c r="B232" s="28" t="inlineStr">
        <is>
          <t>EX-214</t>
        </is>
      </c>
      <c r="C232" s="29" t="inlineStr">
        <is>
          <t>Flooring</t>
        </is>
      </c>
      <c r="D232" s="30">
        <f>IF(Selections!H218="",1,Selections!H218)</f>
        <v/>
      </c>
      <c r="E232" s="31">
        <f>IF(Selections!R218="","",Selections!R218)</f>
        <v/>
      </c>
      <c r="F232" s="40">
        <f>IF(Selections!S218="","",Selections!S218)</f>
        <v/>
      </c>
      <c r="G232" s="31">
        <f>IF(ISNUMBER(E232),D232*E232*(1+IF(ISNUMBER(F232),F232,0)/100),"")</f>
        <v/>
      </c>
    </row>
    <row r="233">
      <c r="A233" s="27" t="n">
        <v>215</v>
      </c>
      <c r="B233" s="28" t="inlineStr">
        <is>
          <t>EX-215</t>
        </is>
      </c>
      <c r="C233" s="29" t="inlineStr">
        <is>
          <t>Counter top</t>
        </is>
      </c>
      <c r="D233" s="30">
        <f>IF(Selections!H219="",1,Selections!H219)</f>
        <v/>
      </c>
      <c r="E233" s="31">
        <f>IF(Selections!R219="","",Selections!R219)</f>
        <v/>
      </c>
      <c r="F233" s="40">
        <f>IF(Selections!S219="","",Selections!S219)</f>
        <v/>
      </c>
      <c r="G233" s="31">
        <f>IF(ISNUMBER(E233),D233*E233*(1+IF(ISNUMBER(F233),F233,0)/100),"")</f>
        <v/>
      </c>
    </row>
    <row r="234">
      <c r="A234" s="27" t="n">
        <v>216</v>
      </c>
      <c r="B234" s="28" t="inlineStr">
        <is>
          <t>EX-216</t>
        </is>
      </c>
      <c r="C234" s="29" t="inlineStr">
        <is>
          <t>Bathroom Sink</t>
        </is>
      </c>
      <c r="D234" s="30">
        <f>IF(Selections!H220="",1,Selections!H220)</f>
        <v/>
      </c>
      <c r="E234" s="31">
        <f>IF(Selections!R220="","",Selections!R220)</f>
        <v/>
      </c>
      <c r="F234" s="40">
        <f>IF(Selections!S220="","",Selections!S220)</f>
        <v/>
      </c>
      <c r="G234" s="31">
        <f>IF(ISNUMBER(E234),D234*E234*(1+IF(ISNUMBER(F234),F234,0)/100),"")</f>
        <v/>
      </c>
    </row>
    <row r="235">
      <c r="A235" s="27" t="n">
        <v>217</v>
      </c>
      <c r="B235" s="28" t="inlineStr">
        <is>
          <t>EX-217</t>
        </is>
      </c>
      <c r="C235" s="29" t="inlineStr">
        <is>
          <t>Sink Faucet</t>
        </is>
      </c>
      <c r="D235" s="30">
        <f>IF(Selections!H221="",1,Selections!H221)</f>
        <v/>
      </c>
      <c r="E235" s="31">
        <f>IF(Selections!R221="","",Selections!R221)</f>
        <v/>
      </c>
      <c r="F235" s="40">
        <f>IF(Selections!S221="","",Selections!S221)</f>
        <v/>
      </c>
      <c r="G235" s="31">
        <f>IF(ISNUMBER(E235),D235*E235*(1+IF(ISNUMBER(F235),F235,0)/100),"")</f>
        <v/>
      </c>
    </row>
    <row r="236">
      <c r="A236" s="27" t="n">
        <v>218</v>
      </c>
      <c r="B236" s="28" t="inlineStr">
        <is>
          <t>EX-218</t>
        </is>
      </c>
      <c r="C236" s="29" t="inlineStr">
        <is>
          <t>Towel Ring</t>
        </is>
      </c>
      <c r="D236" s="30">
        <f>IF(Selections!H222="",1,Selections!H222)</f>
        <v/>
      </c>
      <c r="E236" s="31">
        <f>IF(Selections!R222="","",Selections!R222)</f>
        <v/>
      </c>
      <c r="F236" s="40">
        <f>IF(Selections!S222="","",Selections!S222)</f>
        <v/>
      </c>
      <c r="G236" s="31">
        <f>IF(ISNUMBER(E236),D236*E236*(1+IF(ISNUMBER(F236),F236,0)/100),"")</f>
        <v/>
      </c>
    </row>
    <row r="237">
      <c r="A237" s="27" t="n">
        <v>219</v>
      </c>
      <c r="B237" s="28" t="inlineStr">
        <is>
          <t>EX-219</t>
        </is>
      </c>
      <c r="C237" s="29" t="inlineStr">
        <is>
          <t>Towel Bar 24"</t>
        </is>
      </c>
      <c r="D237" s="30">
        <f>IF(Selections!H223="",1,Selections!H223)</f>
        <v/>
      </c>
      <c r="E237" s="31">
        <f>IF(Selections!R223="","",Selections!R223)</f>
        <v/>
      </c>
      <c r="F237" s="40">
        <f>IF(Selections!S223="","",Selections!S223)</f>
        <v/>
      </c>
      <c r="G237" s="31">
        <f>IF(ISNUMBER(E237),D237*E237*(1+IF(ISNUMBER(F237),F237,0)/100),"")</f>
        <v/>
      </c>
    </row>
    <row r="238">
      <c r="A238" s="27" t="n">
        <v>220</v>
      </c>
      <c r="B238" s="28" t="inlineStr">
        <is>
          <t>EX-220</t>
        </is>
      </c>
      <c r="C238" s="29" t="inlineStr">
        <is>
          <t>Vanity Mirror</t>
        </is>
      </c>
      <c r="D238" s="30">
        <f>IF(Selections!H224="",1,Selections!H224)</f>
        <v/>
      </c>
      <c r="E238" s="31">
        <f>IF(Selections!R224="","",Selections!R224)</f>
        <v/>
      </c>
      <c r="F238" s="40">
        <f>IF(Selections!S224="","",Selections!S224)</f>
        <v/>
      </c>
      <c r="G238" s="31">
        <f>IF(ISNUMBER(E238),D238*E238*(1+IF(ISNUMBER(F238),F238,0)/100),"")</f>
        <v/>
      </c>
    </row>
    <row r="239">
      <c r="A239" s="27" t="n">
        <v>221</v>
      </c>
      <c r="B239" s="28" t="inlineStr">
        <is>
          <t>EX-221</t>
        </is>
      </c>
      <c r="C239" s="29" t="inlineStr">
        <is>
          <t>Light Fixture - Bath</t>
        </is>
      </c>
      <c r="D239" s="30">
        <f>IF(Selections!H225="",1,Selections!H225)</f>
        <v/>
      </c>
      <c r="E239" s="31">
        <f>IF(Selections!R225="","",Selections!R225)</f>
        <v/>
      </c>
      <c r="F239" s="40">
        <f>IF(Selections!S225="","",Selections!S225)</f>
        <v/>
      </c>
      <c r="G239" s="31">
        <f>IF(ISNUMBER(E239),D239*E239*(1+IF(ISNUMBER(F239),F239,0)/100),"")</f>
        <v/>
      </c>
    </row>
    <row r="240">
      <c r="A240" s="27" t="n">
        <v>222</v>
      </c>
      <c r="B240" s="28" t="inlineStr">
        <is>
          <t>EX-222</t>
        </is>
      </c>
      <c r="C240" s="29" t="inlineStr">
        <is>
          <t>Flush Toilet</t>
        </is>
      </c>
      <c r="D240" s="30">
        <f>IF(Selections!H226="",1,Selections!H226)</f>
        <v/>
      </c>
      <c r="E240" s="31">
        <f>IF(Selections!R226="","",Selections!R226)</f>
        <v/>
      </c>
      <c r="F240" s="40">
        <f>IF(Selections!S226="","",Selections!S226)</f>
        <v/>
      </c>
      <c r="G240" s="31">
        <f>IF(ISNUMBER(E240),D240*E240*(1+IF(ISNUMBER(F240),F240,0)/100),"")</f>
        <v/>
      </c>
    </row>
    <row r="241">
      <c r="A241" s="27" t="n">
        <v>223</v>
      </c>
      <c r="B241" s="28" t="inlineStr">
        <is>
          <t>EX-223</t>
        </is>
      </c>
      <c r="C241" s="29" t="inlineStr">
        <is>
          <t>Toilet Paper Holder</t>
        </is>
      </c>
      <c r="D241" s="30">
        <f>IF(Selections!H227="",1,Selections!H227)</f>
        <v/>
      </c>
      <c r="E241" s="31">
        <f>IF(Selections!R227="","",Selections!R227)</f>
        <v/>
      </c>
      <c r="F241" s="40">
        <f>IF(Selections!S227="","",Selections!S227)</f>
        <v/>
      </c>
      <c r="G241" s="31">
        <f>IF(ISNUMBER(E241),D241*E241*(1+IF(ISNUMBER(F241),F241,0)/100),"")</f>
        <v/>
      </c>
    </row>
    <row r="242">
      <c r="A242" s="27" t="n">
        <v>224</v>
      </c>
      <c r="B242" s="28" t="inlineStr">
        <is>
          <t>EX-224</t>
        </is>
      </c>
      <c r="C242" s="29" t="inlineStr">
        <is>
          <t>Toilet Lever</t>
        </is>
      </c>
      <c r="D242" s="30">
        <f>IF(Selections!H228="",1,Selections!H228)</f>
        <v/>
      </c>
      <c r="E242" s="31">
        <f>IF(Selections!R228="","",Selections!R228)</f>
        <v/>
      </c>
      <c r="F242" s="40">
        <f>IF(Selections!S228="","",Selections!S228)</f>
        <v/>
      </c>
      <c r="G242" s="31">
        <f>IF(ISNUMBER(E242),D242*E242*(1+IF(ISNUMBER(F242),F242,0)/100),"")</f>
        <v/>
      </c>
    </row>
    <row r="243">
      <c r="A243" s="27" t="n">
        <v>225</v>
      </c>
      <c r="B243" s="28" t="inlineStr">
        <is>
          <t>EX-225</t>
        </is>
      </c>
      <c r="C243" s="29" t="inlineStr">
        <is>
          <t>Doors - Interior</t>
        </is>
      </c>
      <c r="D243" s="30">
        <f>IF(Selections!H229="",1,Selections!H229)</f>
        <v/>
      </c>
      <c r="E243" s="31">
        <f>IF(Selections!R229="","",Selections!R229)</f>
        <v/>
      </c>
      <c r="F243" s="40">
        <f>IF(Selections!S229="","",Selections!S229)</f>
        <v/>
      </c>
      <c r="G243" s="31">
        <f>IF(ISNUMBER(E243),D243*E243*(1+IF(ISNUMBER(F243),F243,0)/100),"")</f>
        <v/>
      </c>
    </row>
    <row r="244">
      <c r="A244" s="27" t="n">
        <v>226</v>
      </c>
      <c r="B244" s="28" t="inlineStr">
        <is>
          <t>EX-226</t>
        </is>
      </c>
      <c r="C244" s="29" t="inlineStr">
        <is>
          <t>Door Stopper</t>
        </is>
      </c>
      <c r="D244" s="30">
        <f>IF(Selections!H230="",1,Selections!H230)</f>
        <v/>
      </c>
      <c r="E244" s="31">
        <f>IF(Selections!R230="","",Selections!R230)</f>
        <v/>
      </c>
      <c r="F244" s="40">
        <f>IF(Selections!S230="","",Selections!S230)</f>
        <v/>
      </c>
      <c r="G244" s="31">
        <f>IF(ISNUMBER(E244),D244*E244*(1+IF(ISNUMBER(F244),F244,0)/100),"")</f>
        <v/>
      </c>
    </row>
    <row r="245">
      <c r="A245" s="27" t="n">
        <v>227</v>
      </c>
      <c r="B245" s="28" t="inlineStr">
        <is>
          <t>EX-227</t>
        </is>
      </c>
      <c r="C245" s="29" t="inlineStr">
        <is>
          <t>Exhaust Fan</t>
        </is>
      </c>
      <c r="D245" s="30">
        <f>IF(Selections!H231="",1,Selections!H231)</f>
        <v/>
      </c>
      <c r="E245" s="31">
        <f>IF(Selections!R231="","",Selections!R231)</f>
        <v/>
      </c>
      <c r="F245" s="40">
        <f>IF(Selections!S231="","",Selections!S231)</f>
        <v/>
      </c>
      <c r="G245" s="31">
        <f>IF(ISNUMBER(E245),D245*E245*(1+IF(ISNUMBER(F245),F245,0)/100),"")</f>
        <v/>
      </c>
    </row>
    <row r="246">
      <c r="A246" s="27" t="n">
        <v>228</v>
      </c>
      <c r="B246" s="28" t="inlineStr">
        <is>
          <t>EX-228</t>
        </is>
      </c>
      <c r="C246" s="29" t="inlineStr">
        <is>
          <t>Flooring</t>
        </is>
      </c>
      <c r="D246" s="30">
        <f>IF(Selections!H232="",1,Selections!H232)</f>
        <v/>
      </c>
      <c r="E246" s="31">
        <f>IF(Selections!R232="","",Selections!R232)</f>
        <v/>
      </c>
      <c r="F246" s="40">
        <f>IF(Selections!S232="","",Selections!S232)</f>
        <v/>
      </c>
      <c r="G246" s="31">
        <f>IF(ISNUMBER(E246),D246*E246*(1+IF(ISNUMBER(F246),F246,0)/100),"")</f>
        <v/>
      </c>
    </row>
    <row r="247">
      <c r="A247" s="27" t="n">
        <v>229</v>
      </c>
      <c r="B247" s="28" t="inlineStr">
        <is>
          <t>EX-229</t>
        </is>
      </c>
      <c r="C247" s="29" t="inlineStr">
        <is>
          <t>Light Fixture - Fan</t>
        </is>
      </c>
      <c r="D247" s="30">
        <f>IF(Selections!H233="",1,Selections!H233)</f>
        <v/>
      </c>
      <c r="E247" s="31">
        <f>IF(Selections!R233="","",Selections!R233)</f>
        <v/>
      </c>
      <c r="F247" s="40">
        <f>IF(Selections!S233="","",Selections!S233)</f>
        <v/>
      </c>
      <c r="G247" s="31">
        <f>IF(ISNUMBER(E247),D247*E247*(1+IF(ISNUMBER(F247),F247,0)/100),"")</f>
        <v/>
      </c>
    </row>
    <row r="248">
      <c r="A248" s="27" t="n">
        <v>230</v>
      </c>
      <c r="B248" s="28" t="inlineStr">
        <is>
          <t>EX-230</t>
        </is>
      </c>
      <c r="C248" s="29" t="inlineStr">
        <is>
          <t>Light Fixture - Sconce</t>
        </is>
      </c>
      <c r="D248" s="30">
        <f>IF(Selections!H234="",1,Selections!H234)</f>
        <v/>
      </c>
      <c r="E248" s="31">
        <f>IF(Selections!R234="","",Selections!R234)</f>
        <v/>
      </c>
      <c r="F248" s="40">
        <f>IF(Selections!S234="","",Selections!S234)</f>
        <v/>
      </c>
      <c r="G248" s="31">
        <f>IF(ISNUMBER(E248),D248*E248*(1+IF(ISNUMBER(F248),F248,0)/100),"")</f>
        <v/>
      </c>
    </row>
    <row r="249">
      <c r="A249" s="27" t="n">
        <v>231</v>
      </c>
      <c r="B249" s="28" t="inlineStr">
        <is>
          <t>EX-231</t>
        </is>
      </c>
      <c r="C249" s="29" t="inlineStr">
        <is>
          <t>Interior Door</t>
        </is>
      </c>
      <c r="D249" s="30">
        <f>IF(Selections!H235="",1,Selections!H235)</f>
        <v/>
      </c>
      <c r="E249" s="31">
        <f>IF(Selections!R235="","",Selections!R235)</f>
        <v/>
      </c>
      <c r="F249" s="40">
        <f>IF(Selections!S235="","",Selections!S235)</f>
        <v/>
      </c>
      <c r="G249" s="31">
        <f>IF(ISNUMBER(E249),D249*E249*(1+IF(ISNUMBER(F249),F249,0)/100),"")</f>
        <v/>
      </c>
    </row>
    <row r="250">
      <c r="A250" s="27" t="n">
        <v>232</v>
      </c>
      <c r="B250" s="28" t="inlineStr">
        <is>
          <t>EX-232</t>
        </is>
      </c>
      <c r="C250" s="29" t="inlineStr">
        <is>
          <t>Door Stopper</t>
        </is>
      </c>
      <c r="D250" s="30">
        <f>IF(Selections!H236="",1,Selections!H236)</f>
        <v/>
      </c>
      <c r="E250" s="31">
        <f>IF(Selections!R236="","",Selections!R236)</f>
        <v/>
      </c>
      <c r="F250" s="40">
        <f>IF(Selections!S236="","",Selections!S236)</f>
        <v/>
      </c>
      <c r="G250" s="31">
        <f>IF(ISNUMBER(E250),D250*E250*(1+IF(ISNUMBER(F250),F250,0)/100),"")</f>
        <v/>
      </c>
    </row>
    <row r="251">
      <c r="A251" s="27" t="n">
        <v>233</v>
      </c>
      <c r="B251" s="28" t="inlineStr">
        <is>
          <t>EX-233</t>
        </is>
      </c>
      <c r="C251" s="29" t="inlineStr">
        <is>
          <t>Walls</t>
        </is>
      </c>
      <c r="D251" s="30">
        <f>IF(Selections!H237="",1,Selections!H237)</f>
        <v/>
      </c>
      <c r="E251" s="31">
        <f>IF(Selections!R237="","",Selections!R237)</f>
        <v/>
      </c>
      <c r="F251" s="40">
        <f>IF(Selections!S237="","",Selections!S237)</f>
        <v/>
      </c>
      <c r="G251" s="31">
        <f>IF(ISNUMBER(E251),D251*E251*(1+IF(ISNUMBER(F251),F251,0)/100),"")</f>
        <v/>
      </c>
    </row>
    <row r="252">
      <c r="C252" s="32" t="inlineStr">
        <is>
          <t>2nd Floor subtotal</t>
        </is>
      </c>
      <c r="G252" s="33">
        <f>SUM(G152:G251)</f>
        <v/>
      </c>
    </row>
    <row r="253">
      <c r="A253" s="26" t="inlineStr">
        <is>
          <t>OUTDOOR LIVING</t>
        </is>
      </c>
    </row>
    <row r="254">
      <c r="A254" s="27" t="n">
        <v>234</v>
      </c>
      <c r="B254" s="28" t="inlineStr">
        <is>
          <t>EX-234</t>
        </is>
      </c>
      <c r="C254" s="29" t="inlineStr">
        <is>
          <t>Flooring</t>
        </is>
      </c>
      <c r="D254" s="30">
        <f>IF(Selections!H238="",1,Selections!H238)</f>
        <v/>
      </c>
      <c r="E254" s="31">
        <f>IF(Selections!R238="","",Selections!R238)</f>
        <v/>
      </c>
      <c r="F254" s="40">
        <f>IF(Selections!S238="","",Selections!S238)</f>
        <v/>
      </c>
      <c r="G254" s="31">
        <f>IF(ISNUMBER(E254),D254*E254*(1+IF(ISNUMBER(F254),F254,0)/100),"")</f>
        <v/>
      </c>
    </row>
    <row r="255">
      <c r="A255" s="27" t="n">
        <v>235</v>
      </c>
      <c r="B255" s="28" t="inlineStr">
        <is>
          <t>EX-235</t>
        </is>
      </c>
      <c r="C255" s="29" t="inlineStr">
        <is>
          <t>Flooring</t>
        </is>
      </c>
      <c r="D255" s="30">
        <f>IF(Selections!H239="",1,Selections!H239)</f>
        <v/>
      </c>
      <c r="E255" s="31">
        <f>IF(Selections!R239="","",Selections!R239)</f>
        <v/>
      </c>
      <c r="F255" s="40">
        <f>IF(Selections!S239="","",Selections!S239)</f>
        <v/>
      </c>
      <c r="G255" s="31">
        <f>IF(ISNUMBER(E255),D255*E255*(1+IF(ISNUMBER(F255),F255,0)/100),"")</f>
        <v/>
      </c>
    </row>
    <row r="256">
      <c r="A256" s="27" t="n">
        <v>236</v>
      </c>
      <c r="B256" s="28" t="inlineStr">
        <is>
          <t>EX-236</t>
        </is>
      </c>
      <c r="C256" s="29" t="inlineStr">
        <is>
          <t>Flooring</t>
        </is>
      </c>
      <c r="D256" s="30">
        <f>IF(Selections!H240="",1,Selections!H240)</f>
        <v/>
      </c>
      <c r="E256" s="31">
        <f>IF(Selections!R240="","",Selections!R240)</f>
        <v/>
      </c>
      <c r="F256" s="40">
        <f>IF(Selections!S240="","",Selections!S240)</f>
        <v/>
      </c>
      <c r="G256" s="31">
        <f>IF(ISNUMBER(E256),D256*E256*(1+IF(ISNUMBER(F256),F256,0)/100),"")</f>
        <v/>
      </c>
    </row>
    <row r="257">
      <c r="A257" s="27" t="n">
        <v>237</v>
      </c>
      <c r="B257" s="28" t="inlineStr">
        <is>
          <t>EX-237</t>
        </is>
      </c>
      <c r="C257" s="29" t="inlineStr">
        <is>
          <t>Light Fixture - Fan</t>
        </is>
      </c>
      <c r="D257" s="30">
        <f>IF(Selections!H241="",1,Selections!H241)</f>
        <v/>
      </c>
      <c r="E257" s="31">
        <f>IF(Selections!R241="","",Selections!R241)</f>
        <v/>
      </c>
      <c r="F257" s="40">
        <f>IF(Selections!S241="","",Selections!S241)</f>
        <v/>
      </c>
      <c r="G257" s="31">
        <f>IF(ISNUMBER(E257),D257*E257*(1+IF(ISNUMBER(F257),F257,0)/100),"")</f>
        <v/>
      </c>
    </row>
    <row r="258">
      <c r="A258" s="27" t="n">
        <v>238</v>
      </c>
      <c r="B258" s="28" t="inlineStr">
        <is>
          <t>EX-238</t>
        </is>
      </c>
      <c r="C258" s="29" t="inlineStr">
        <is>
          <t>Flooring</t>
        </is>
      </c>
      <c r="D258" s="30">
        <f>IF(Selections!H242="",1,Selections!H242)</f>
        <v/>
      </c>
      <c r="E258" s="31">
        <f>IF(Selections!R242="","",Selections!R242)</f>
        <v/>
      </c>
      <c r="F258" s="40">
        <f>IF(Selections!S242="","",Selections!S242)</f>
        <v/>
      </c>
      <c r="G258" s="31">
        <f>IF(ISNUMBER(E258),D258*E258*(1+IF(ISNUMBER(F258),F258,0)/100),"")</f>
        <v/>
      </c>
    </row>
    <row r="259">
      <c r="A259" s="27" t="n">
        <v>239</v>
      </c>
      <c r="B259" s="28" t="inlineStr">
        <is>
          <t>EX-239</t>
        </is>
      </c>
      <c r="C259" s="29" t="inlineStr">
        <is>
          <t>Flooring</t>
        </is>
      </c>
      <c r="D259" s="30">
        <f>IF(Selections!H243="",1,Selections!H243)</f>
        <v/>
      </c>
      <c r="E259" s="31">
        <f>IF(Selections!R243="","",Selections!R243)</f>
        <v/>
      </c>
      <c r="F259" s="40">
        <f>IF(Selections!S243="","",Selections!S243)</f>
        <v/>
      </c>
      <c r="G259" s="31">
        <f>IF(ISNUMBER(E259),D259*E259*(1+IF(ISNUMBER(F259),F259,0)/100),"")</f>
        <v/>
      </c>
    </row>
    <row r="260">
      <c r="A260" s="27" t="n">
        <v>240</v>
      </c>
      <c r="B260" s="28" t="inlineStr">
        <is>
          <t>EX-240</t>
        </is>
      </c>
      <c r="C260" s="29" t="inlineStr">
        <is>
          <t>Flooring</t>
        </is>
      </c>
      <c r="D260" s="30">
        <f>IF(Selections!H244="",1,Selections!H244)</f>
        <v/>
      </c>
      <c r="E260" s="31">
        <f>IF(Selections!R244="","",Selections!R244)</f>
        <v/>
      </c>
      <c r="F260" s="40">
        <f>IF(Selections!S244="","",Selections!S244)</f>
        <v/>
      </c>
      <c r="G260" s="31">
        <f>IF(ISNUMBER(E260),D260*E260*(1+IF(ISNUMBER(F260),F260,0)/100),"")</f>
        <v/>
      </c>
    </row>
    <row r="261">
      <c r="A261" s="27" t="n">
        <v>241</v>
      </c>
      <c r="B261" s="28" t="inlineStr">
        <is>
          <t>EX-241</t>
        </is>
      </c>
      <c r="C261" s="29" t="inlineStr">
        <is>
          <t>Light Fixture - Fan</t>
        </is>
      </c>
      <c r="D261" s="30">
        <f>IF(Selections!H245="",1,Selections!H245)</f>
        <v/>
      </c>
      <c r="E261" s="31">
        <f>IF(Selections!R245="","",Selections!R245)</f>
        <v/>
      </c>
      <c r="F261" s="40">
        <f>IF(Selections!S245="","",Selections!S245)</f>
        <v/>
      </c>
      <c r="G261" s="31">
        <f>IF(ISNUMBER(E261),D261*E261*(1+IF(ISNUMBER(F261),F261,0)/100),"")</f>
        <v/>
      </c>
    </row>
    <row r="262">
      <c r="A262" s="27" t="n">
        <v>242</v>
      </c>
      <c r="B262" s="28" t="inlineStr">
        <is>
          <t>EX-242</t>
        </is>
      </c>
      <c r="C262" s="29" t="inlineStr">
        <is>
          <t>Flooring</t>
        </is>
      </c>
      <c r="D262" s="30">
        <f>IF(Selections!H246="",1,Selections!H246)</f>
        <v/>
      </c>
      <c r="E262" s="31">
        <f>IF(Selections!R246="","",Selections!R246)</f>
        <v/>
      </c>
      <c r="F262" s="40">
        <f>IF(Selections!S246="","",Selections!S246)</f>
        <v/>
      </c>
      <c r="G262" s="31">
        <f>IF(ISNUMBER(E262),D262*E262*(1+IF(ISNUMBER(F262),F262,0)/100),"")</f>
        <v/>
      </c>
    </row>
    <row r="263">
      <c r="C263" s="32" t="inlineStr">
        <is>
          <t>Outdoor Living subtotal</t>
        </is>
      </c>
      <c r="G263" s="33">
        <f>SUM(G254:G262)</f>
        <v/>
      </c>
    </row>
    <row r="264">
      <c r="A264" s="26" t="inlineStr">
        <is>
          <t>GARAGE</t>
        </is>
      </c>
    </row>
    <row r="265">
      <c r="A265" s="27" t="n">
        <v>243</v>
      </c>
      <c r="B265" s="28" t="inlineStr">
        <is>
          <t>EX-243</t>
        </is>
      </c>
      <c r="C265" s="29" t="inlineStr">
        <is>
          <t>Garage doors</t>
        </is>
      </c>
      <c r="D265" s="30">
        <f>IF(Selections!H247="",1,Selections!H247)</f>
        <v/>
      </c>
      <c r="E265" s="31">
        <f>IF(Selections!R247="","",Selections!R247)</f>
        <v/>
      </c>
      <c r="F265" s="40">
        <f>IF(Selections!S247="","",Selections!S247)</f>
        <v/>
      </c>
      <c r="G265" s="31">
        <f>IF(ISNUMBER(E265),D265*E265*(1+IF(ISNUMBER(F265),F265,0)/100),"")</f>
        <v/>
      </c>
    </row>
    <row r="266">
      <c r="A266" s="27" t="n">
        <v>244</v>
      </c>
      <c r="B266" s="28" t="inlineStr">
        <is>
          <t>EX-244</t>
        </is>
      </c>
      <c r="C266" s="29" t="inlineStr">
        <is>
          <t>Flooring - car ports</t>
        </is>
      </c>
      <c r="D266" s="30">
        <f>IF(Selections!H248="",1,Selections!H248)</f>
        <v/>
      </c>
      <c r="E266" s="31">
        <f>IF(Selections!R248="","",Selections!R248)</f>
        <v/>
      </c>
      <c r="F266" s="40">
        <f>IF(Selections!S248="","",Selections!S248)</f>
        <v/>
      </c>
      <c r="G266" s="31">
        <f>IF(ISNUMBER(E266),D266*E266*(1+IF(ISNUMBER(F266),F266,0)/100),"")</f>
        <v/>
      </c>
    </row>
    <row r="267">
      <c r="A267" s="27" t="n">
        <v>245</v>
      </c>
      <c r="B267" s="28" t="inlineStr">
        <is>
          <t>EX-245</t>
        </is>
      </c>
      <c r="C267" s="29" t="inlineStr">
        <is>
          <t>Flooring - storage</t>
        </is>
      </c>
      <c r="D267" s="30">
        <f>IF(Selections!H249="",1,Selections!H249)</f>
        <v/>
      </c>
      <c r="E267" s="31">
        <f>IF(Selections!R249="","",Selections!R249)</f>
        <v/>
      </c>
      <c r="F267" s="40">
        <f>IF(Selections!S249="","",Selections!S249)</f>
        <v/>
      </c>
      <c r="G267" s="31">
        <f>IF(ISNUMBER(E267),D267*E267*(1+IF(ISNUMBER(F267),F267,0)/100),"")</f>
        <v/>
      </c>
    </row>
    <row r="268">
      <c r="C268" s="32" t="inlineStr">
        <is>
          <t>Garage subtotal</t>
        </is>
      </c>
      <c r="G268" s="33">
        <f>SUM(G265:G267)</f>
        <v/>
      </c>
    </row>
    <row r="269">
      <c r="A269" s="26" t="inlineStr">
        <is>
          <t>BULK ITEMS</t>
        </is>
      </c>
    </row>
    <row r="270">
      <c r="A270" s="27" t="n">
        <v>246</v>
      </c>
      <c r="B270" s="28" t="inlineStr">
        <is>
          <t>EX-246</t>
        </is>
      </c>
      <c r="C270" s="29" t="inlineStr">
        <is>
          <t>Cabinets</t>
        </is>
      </c>
      <c r="D270" s="30">
        <f>IF(Selections!H250="",1,Selections!H250)</f>
        <v/>
      </c>
      <c r="E270" s="31">
        <f>IF(Selections!R250="","",Selections!R250)</f>
        <v/>
      </c>
      <c r="F270" s="40">
        <f>IF(Selections!S250="","",Selections!S250)</f>
        <v/>
      </c>
      <c r="G270" s="31">
        <f>IF(ISNUMBER(E270),D270*E270*(1+IF(ISNUMBER(F270),F270,0)/100),"")</f>
        <v/>
      </c>
    </row>
    <row r="271">
      <c r="A271" s="27" t="n">
        <v>247</v>
      </c>
      <c r="B271" s="28" t="inlineStr">
        <is>
          <t>EX-247</t>
        </is>
      </c>
      <c r="C271" s="29" t="inlineStr">
        <is>
          <t>Roof</t>
        </is>
      </c>
      <c r="D271" s="30">
        <f>IF(Selections!H251="",1,Selections!H251)</f>
        <v/>
      </c>
      <c r="E271" s="31">
        <f>IF(Selections!R251="","",Selections!R251)</f>
        <v/>
      </c>
      <c r="F271" s="40">
        <f>IF(Selections!S251="","",Selections!S251)</f>
        <v/>
      </c>
      <c r="G271" s="31">
        <f>IF(ISNUMBER(E271),D271*E271*(1+IF(ISNUMBER(F271),F271,0)/100),"")</f>
        <v/>
      </c>
    </row>
    <row r="272">
      <c r="A272" s="27" t="n">
        <v>248</v>
      </c>
      <c r="B272" s="28" t="inlineStr">
        <is>
          <t>EX-248</t>
        </is>
      </c>
      <c r="C272" s="29" t="inlineStr">
        <is>
          <t>Paint - Interior</t>
        </is>
      </c>
      <c r="D272" s="30">
        <f>IF(Selections!H252="",1,Selections!H252)</f>
        <v/>
      </c>
      <c r="E272" s="31">
        <f>IF(Selections!R252="","",Selections!R252)</f>
        <v/>
      </c>
      <c r="F272" s="40">
        <f>IF(Selections!S252="","",Selections!S252)</f>
        <v/>
      </c>
      <c r="G272" s="31">
        <f>IF(ISNUMBER(E272),D272*E272*(1+IF(ISNUMBER(F272),F272,0)/100),"")</f>
        <v/>
      </c>
    </row>
    <row r="273">
      <c r="A273" s="27" t="n">
        <v>249</v>
      </c>
      <c r="B273" s="28" t="inlineStr">
        <is>
          <t>EX-249</t>
        </is>
      </c>
      <c r="C273" s="29" t="inlineStr">
        <is>
          <t>Paint - Exterior</t>
        </is>
      </c>
      <c r="D273" s="30">
        <f>IF(Selections!H253="",1,Selections!H253)</f>
        <v/>
      </c>
      <c r="E273" s="31">
        <f>IF(Selections!R253="","",Selections!R253)</f>
        <v/>
      </c>
      <c r="F273" s="40">
        <f>IF(Selections!S253="","",Selections!S253)</f>
        <v/>
      </c>
      <c r="G273" s="31">
        <f>IF(ISNUMBER(E273),D273*E273*(1+IF(ISNUMBER(F273),F273,0)/100),"")</f>
        <v/>
      </c>
    </row>
    <row r="274">
      <c r="A274" s="27" t="n">
        <v>250</v>
      </c>
      <c r="B274" s="28" t="inlineStr">
        <is>
          <t>EX-250</t>
        </is>
      </c>
      <c r="C274" s="29" t="inlineStr">
        <is>
          <t>Baseboards</t>
        </is>
      </c>
      <c r="D274" s="30">
        <f>IF(Selections!H254="",1,Selections!H254)</f>
        <v/>
      </c>
      <c r="E274" s="31">
        <f>IF(Selections!R254="","",Selections!R254)</f>
        <v/>
      </c>
      <c r="F274" s="40">
        <f>IF(Selections!S254="","",Selections!S254)</f>
        <v/>
      </c>
      <c r="G274" s="31">
        <f>IF(ISNUMBER(E274),D274*E274*(1+IF(ISNUMBER(F274),F274,0)/100),"")</f>
        <v/>
      </c>
    </row>
    <row r="275">
      <c r="A275" s="27" t="n">
        <v>251</v>
      </c>
      <c r="B275" s="28" t="inlineStr">
        <is>
          <t>EX-251</t>
        </is>
      </c>
      <c r="C275" s="29" t="inlineStr">
        <is>
          <t>Hardware - Knobs</t>
        </is>
      </c>
      <c r="D275" s="30">
        <f>IF(Selections!H255="",1,Selections!H255)</f>
        <v/>
      </c>
      <c r="E275" s="31">
        <f>IF(Selections!R255="","",Selections!R255)</f>
        <v/>
      </c>
      <c r="F275" s="40">
        <f>IF(Selections!S255="","",Selections!S255)</f>
        <v/>
      </c>
      <c r="G275" s="31">
        <f>IF(ISNUMBER(E275),D275*E275*(1+IF(ISNUMBER(F275),F275,0)/100),"")</f>
        <v/>
      </c>
    </row>
    <row r="276">
      <c r="A276" s="27" t="n">
        <v>252</v>
      </c>
      <c r="B276" s="28" t="inlineStr">
        <is>
          <t>EX-252</t>
        </is>
      </c>
      <c r="C276" s="29" t="inlineStr">
        <is>
          <t>Foundation</t>
        </is>
      </c>
      <c r="D276" s="30">
        <f>IF(Selections!H256="",1,Selections!H256)</f>
        <v/>
      </c>
      <c r="E276" s="31">
        <f>IF(Selections!R256="","",Selections!R256)</f>
        <v/>
      </c>
      <c r="F276" s="40">
        <f>IF(Selections!S256="","",Selections!S256)</f>
        <v/>
      </c>
      <c r="G276" s="31">
        <f>IF(ISNUMBER(E276),D276*E276*(1+IF(ISNUMBER(F276),F276,0)/100),"")</f>
        <v/>
      </c>
    </row>
    <row r="277">
      <c r="A277" s="27" t="n">
        <v>253</v>
      </c>
      <c r="B277" s="28" t="inlineStr">
        <is>
          <t>EX-253</t>
        </is>
      </c>
      <c r="C277" s="29" t="inlineStr">
        <is>
          <t>Framing</t>
        </is>
      </c>
      <c r="D277" s="30">
        <f>IF(Selections!H257="",1,Selections!H257)</f>
        <v/>
      </c>
      <c r="E277" s="31">
        <f>IF(Selections!R257="","",Selections!R257)</f>
        <v/>
      </c>
      <c r="F277" s="40">
        <f>IF(Selections!S257="","",Selections!S257)</f>
        <v/>
      </c>
      <c r="G277" s="31">
        <f>IF(ISNUMBER(E277),D277*E277*(1+IF(ISNUMBER(F277),F277,0)/100),"")</f>
        <v/>
      </c>
    </row>
    <row r="278">
      <c r="A278" s="27" t="n">
        <v>254</v>
      </c>
      <c r="B278" s="28" t="inlineStr">
        <is>
          <t>EX-254</t>
        </is>
      </c>
      <c r="C278" s="29" t="inlineStr">
        <is>
          <t>Insulation/Drywall</t>
        </is>
      </c>
      <c r="D278" s="30">
        <f>IF(Selections!H258="",1,Selections!H258)</f>
        <v/>
      </c>
      <c r="E278" s="31">
        <f>IF(Selections!R258="","",Selections!R258)</f>
        <v/>
      </c>
      <c r="F278" s="40">
        <f>IF(Selections!S258="","",Selections!S258)</f>
        <v/>
      </c>
      <c r="G278" s="31">
        <f>IF(ISNUMBER(E278),D278*E278*(1+IF(ISNUMBER(F278),F278,0)/100),"")</f>
        <v/>
      </c>
    </row>
    <row r="279">
      <c r="A279" s="27" t="n">
        <v>255</v>
      </c>
      <c r="B279" s="28" t="inlineStr">
        <is>
          <t>EX-255</t>
        </is>
      </c>
      <c r="C279" s="29" t="inlineStr">
        <is>
          <t>Masonry</t>
        </is>
      </c>
      <c r="D279" s="30">
        <f>IF(Selections!H259="",1,Selections!H259)</f>
        <v/>
      </c>
      <c r="E279" s="31">
        <f>IF(Selections!R259="","",Selections!R259)</f>
        <v/>
      </c>
      <c r="F279" s="40">
        <f>IF(Selections!S259="","",Selections!S259)</f>
        <v/>
      </c>
      <c r="G279" s="31">
        <f>IF(ISNUMBER(E279),D279*E279*(1+IF(ISNUMBER(F279),F279,0)/100),"")</f>
        <v/>
      </c>
    </row>
    <row r="280">
      <c r="A280" s="27" t="n">
        <v>256</v>
      </c>
      <c r="B280" s="28" t="inlineStr">
        <is>
          <t>EX-256</t>
        </is>
      </c>
      <c r="C280" s="29" t="inlineStr">
        <is>
          <t>Doors</t>
        </is>
      </c>
      <c r="D280" s="30">
        <f>IF(Selections!H260="",1,Selections!H260)</f>
        <v/>
      </c>
      <c r="E280" s="31">
        <f>IF(Selections!R260="","",Selections!R260)</f>
        <v/>
      </c>
      <c r="F280" s="40">
        <f>IF(Selections!S260="","",Selections!S260)</f>
        <v/>
      </c>
      <c r="G280" s="31">
        <f>IF(ISNUMBER(E280),D280*E280*(1+IF(ISNUMBER(F280),F280,0)/100),"")</f>
        <v/>
      </c>
    </row>
    <row r="281">
      <c r="A281" s="27" t="n">
        <v>257</v>
      </c>
      <c r="B281" s="28" t="inlineStr">
        <is>
          <t>EX-257</t>
        </is>
      </c>
      <c r="C281" s="29" t="inlineStr">
        <is>
          <t>Windows</t>
        </is>
      </c>
      <c r="D281" s="30">
        <f>IF(Selections!H261="",1,Selections!H261)</f>
        <v/>
      </c>
      <c r="E281" s="31">
        <f>IF(Selections!R261="","",Selections!R261)</f>
        <v/>
      </c>
      <c r="F281" s="40">
        <f>IF(Selections!S261="","",Selections!S261)</f>
        <v/>
      </c>
      <c r="G281" s="31">
        <f>IF(ISNUMBER(E281),D281*E281*(1+IF(ISNUMBER(F281),F281,0)/100),"")</f>
        <v/>
      </c>
    </row>
    <row r="282">
      <c r="A282" s="27" t="n">
        <v>258</v>
      </c>
      <c r="B282" s="28" t="inlineStr">
        <is>
          <t>EX-258</t>
        </is>
      </c>
      <c r="C282" s="29" t="inlineStr">
        <is>
          <t>Plumbing</t>
        </is>
      </c>
      <c r="D282" s="30">
        <f>IF(Selections!H262="",1,Selections!H262)</f>
        <v/>
      </c>
      <c r="E282" s="31">
        <f>IF(Selections!R262="","",Selections!R262)</f>
        <v/>
      </c>
      <c r="F282" s="40">
        <f>IF(Selections!S262="","",Selections!S262)</f>
        <v/>
      </c>
      <c r="G282" s="31">
        <f>IF(ISNUMBER(E282),D282*E282*(1+IF(ISNUMBER(F282),F282,0)/100),"")</f>
        <v/>
      </c>
    </row>
    <row r="283">
      <c r="A283" s="27" t="n">
        <v>259</v>
      </c>
      <c r="B283" s="28" t="inlineStr">
        <is>
          <t>EX-259</t>
        </is>
      </c>
      <c r="C283" s="29" t="inlineStr">
        <is>
          <t>Electrical</t>
        </is>
      </c>
      <c r="D283" s="30">
        <f>IF(Selections!H263="",1,Selections!H263)</f>
        <v/>
      </c>
      <c r="E283" s="31">
        <f>IF(Selections!R263="","",Selections!R263)</f>
        <v/>
      </c>
      <c r="F283" s="40">
        <f>IF(Selections!S263="","",Selections!S263)</f>
        <v/>
      </c>
      <c r="G283" s="31">
        <f>IF(ISNUMBER(E283),D283*E283*(1+IF(ISNUMBER(F283),F283,0)/100),"")</f>
        <v/>
      </c>
    </row>
    <row r="284">
      <c r="A284" s="27" t="n">
        <v>260</v>
      </c>
      <c r="B284" s="28" t="inlineStr">
        <is>
          <t>EX-260</t>
        </is>
      </c>
      <c r="C284" s="29" t="inlineStr">
        <is>
          <t>HVAC</t>
        </is>
      </c>
      <c r="D284" s="30">
        <f>IF(Selections!H264="",1,Selections!H264)</f>
        <v/>
      </c>
      <c r="E284" s="31">
        <f>IF(Selections!R264="","",Selections!R264)</f>
        <v/>
      </c>
      <c r="F284" s="40">
        <f>IF(Selections!S264="","",Selections!S264)</f>
        <v/>
      </c>
      <c r="G284" s="31">
        <f>IF(ISNUMBER(E284),D284*E284*(1+IF(ISNUMBER(F284),F284,0)/100),"")</f>
        <v/>
      </c>
    </row>
    <row r="285">
      <c r="A285" s="27" t="n">
        <v>261</v>
      </c>
      <c r="B285" s="28" t="inlineStr">
        <is>
          <t>EX-261</t>
        </is>
      </c>
      <c r="C285" s="29" t="inlineStr">
        <is>
          <t>Water Heater</t>
        </is>
      </c>
      <c r="D285" s="30">
        <f>IF(Selections!H265="",1,Selections!H265)</f>
        <v/>
      </c>
      <c r="E285" s="31">
        <f>IF(Selections!R265="","",Selections!R265)</f>
        <v/>
      </c>
      <c r="F285" s="40">
        <f>IF(Selections!S265="","",Selections!S265)</f>
        <v/>
      </c>
      <c r="G285" s="31">
        <f>IF(ISNUMBER(E285),D285*E285*(1+IF(ISNUMBER(F285),F285,0)/100),"")</f>
        <v/>
      </c>
    </row>
    <row r="286">
      <c r="A286" s="27" t="n">
        <v>262</v>
      </c>
      <c r="B286" s="28" t="inlineStr">
        <is>
          <t>EX-262</t>
        </is>
      </c>
      <c r="C286" s="29" t="inlineStr">
        <is>
          <t>Water Purification System</t>
        </is>
      </c>
      <c r="D286" s="30">
        <f>IF(Selections!H266="",1,Selections!H266)</f>
        <v/>
      </c>
      <c r="E286" s="31">
        <f>IF(Selections!R266="","",Selections!R266)</f>
        <v/>
      </c>
      <c r="F286" s="40">
        <f>IF(Selections!S266="","",Selections!S266)</f>
        <v/>
      </c>
      <c r="G286" s="31">
        <f>IF(ISNUMBER(E286),D286*E286*(1+IF(ISNUMBER(F286),F286,0)/100),"")</f>
        <v/>
      </c>
    </row>
    <row r="287">
      <c r="A287" s="27" t="n">
        <v>263</v>
      </c>
      <c r="B287" s="28" t="inlineStr">
        <is>
          <t>EX-263</t>
        </is>
      </c>
      <c r="C287" s="29" t="inlineStr">
        <is>
          <t>Landscaping</t>
        </is>
      </c>
      <c r="D287" s="30">
        <f>IF(Selections!H267="",1,Selections!H267)</f>
        <v/>
      </c>
      <c r="E287" s="31">
        <f>IF(Selections!R267="","",Selections!R267)</f>
        <v/>
      </c>
      <c r="F287" s="40">
        <f>IF(Selections!S267="","",Selections!S267)</f>
        <v/>
      </c>
      <c r="G287" s="31">
        <f>IF(ISNUMBER(E287),D287*E287*(1+IF(ISNUMBER(F287),F287,0)/100),"")</f>
        <v/>
      </c>
    </row>
    <row r="288">
      <c r="A288" s="27" t="n">
        <v>264</v>
      </c>
      <c r="B288" s="28" t="inlineStr">
        <is>
          <t>EX-264</t>
        </is>
      </c>
      <c r="C288" s="29" t="inlineStr">
        <is>
          <t>Multi Media System</t>
        </is>
      </c>
      <c r="D288" s="30">
        <f>IF(Selections!H268="",1,Selections!H268)</f>
        <v/>
      </c>
      <c r="E288" s="31">
        <f>IF(Selections!R268="","",Selections!R268)</f>
        <v/>
      </c>
      <c r="F288" s="40">
        <f>IF(Selections!S268="","",Selections!S268)</f>
        <v/>
      </c>
      <c r="G288" s="31">
        <f>IF(ISNUMBER(E288),D288*E288*(1+IF(ISNUMBER(F288),F288,0)/100),"")</f>
        <v/>
      </c>
    </row>
    <row r="289">
      <c r="A289" s="27" t="n">
        <v>265</v>
      </c>
      <c r="B289" s="28" t="inlineStr">
        <is>
          <t>EX-265</t>
        </is>
      </c>
      <c r="C289" s="29" t="inlineStr">
        <is>
          <t>Smart Home Technology</t>
        </is>
      </c>
      <c r="D289" s="30">
        <f>IF(Selections!H269="",1,Selections!H269)</f>
        <v/>
      </c>
      <c r="E289" s="31">
        <f>IF(Selections!R269="","",Selections!R269)</f>
        <v/>
      </c>
      <c r="F289" s="40">
        <f>IF(Selections!S269="","",Selections!S269)</f>
        <v/>
      </c>
      <c r="G289" s="31">
        <f>IF(ISNUMBER(E289),D289*E289*(1+IF(ISNUMBER(F289),F289,0)/100),"")</f>
        <v/>
      </c>
    </row>
    <row r="290">
      <c r="C290" s="32" t="inlineStr">
        <is>
          <t>Bulk Items subtotal</t>
        </is>
      </c>
      <c r="G290" s="33">
        <f>SUM(G270:G289)</f>
        <v/>
      </c>
    </row>
    <row r="291">
      <c r="A291" s="34" t="n"/>
      <c r="B291" s="34" t="n"/>
      <c r="C291" s="35" t="inlineStr">
        <is>
          <t>UH-101 total</t>
        </is>
      </c>
      <c r="D291" s="34" t="n"/>
      <c r="E291" s="34" t="n"/>
      <c r="F291" s="34" t="n"/>
      <c r="G291" s="36">
        <f>G8+G11+G14+G17+G20+G150+G252+G263+G268+G290</f>
        <v/>
      </c>
    </row>
    <row r="293">
      <c r="A293" s="25" t="inlineStr">
        <is>
          <t>UH-102   Cedar Ridge Custom Build</t>
        </is>
      </c>
    </row>
    <row r="294">
      <c r="A294" s="26" t="inlineStr">
        <is>
          <t>KITCHEN</t>
        </is>
      </c>
    </row>
    <row r="295">
      <c r="A295" s="27" t="n">
        <v>1</v>
      </c>
      <c r="B295" s="28" t="inlineStr">
        <is>
          <t>EX-01</t>
        </is>
      </c>
      <c r="C295" s="29" t="inlineStr">
        <is>
          <t>Kohler K-5540 – White</t>
        </is>
      </c>
      <c r="D295" s="30">
        <f>IF(Selections!H7="",1,Selections!H7)</f>
        <v/>
      </c>
      <c r="E295" s="31">
        <f>IF(Selections!R7="","",Selections!R7)</f>
        <v/>
      </c>
      <c r="F295" s="40">
        <f>IF(Selections!S7="","",Selections!S7)</f>
        <v/>
      </c>
      <c r="G295" s="31">
        <f>IF(ISNUMBER(E295),D295*E295*(1+IF(ISNUMBER(F295),F295,0)/100),"")</f>
        <v/>
      </c>
    </row>
    <row r="296">
      <c r="C296" s="32" t="inlineStr">
        <is>
          <t>Kitchen subtotal</t>
        </is>
      </c>
      <c r="G296" s="33">
        <f>SUM(G295:G295)</f>
        <v/>
      </c>
    </row>
    <row r="297">
      <c r="A297" s="26" t="inlineStr">
        <is>
          <t>LIGHTING</t>
        </is>
      </c>
    </row>
    <row r="298">
      <c r="A298" s="27" t="n">
        <v>2</v>
      </c>
      <c r="B298" s="28" t="inlineStr">
        <is>
          <t>EX-02</t>
        </is>
      </c>
      <c r="C298" s="29" t="inlineStr">
        <is>
          <t>Kichler Olde Bronze – Model TBD</t>
        </is>
      </c>
      <c r="D298" s="30">
        <f>IF(Selections!H8="",1,Selections!H8)</f>
        <v/>
      </c>
      <c r="E298" s="31">
        <f>IF(Selections!R8="","",Selections!R8)</f>
        <v/>
      </c>
      <c r="F298" s="40">
        <f>IF(Selections!S8="","",Selections!S8)</f>
        <v/>
      </c>
      <c r="G298" s="31">
        <f>IF(ISNUMBER(E298),D298*E298*(1+IF(ISNUMBER(F298),F298,0)/100),"")</f>
        <v/>
      </c>
    </row>
    <row r="299">
      <c r="C299" s="32" t="inlineStr">
        <is>
          <t>Lighting subtotal</t>
        </is>
      </c>
      <c r="G299" s="33">
        <f>SUM(G298:G298)</f>
        <v/>
      </c>
    </row>
    <row r="300">
      <c r="A300" s="34" t="n"/>
      <c r="B300" s="34" t="n"/>
      <c r="C300" s="35" t="inlineStr">
        <is>
          <t>UH-102 total</t>
        </is>
      </c>
      <c r="D300" s="34" t="n"/>
      <c r="E300" s="34" t="n"/>
      <c r="F300" s="34" t="n"/>
      <c r="G300" s="36">
        <f>G296+G299</f>
        <v/>
      </c>
    </row>
    <row r="302">
      <c r="A302" s="25" t="inlineStr">
        <is>
          <t>UH-103   Velora</t>
        </is>
      </c>
    </row>
    <row r="303">
      <c r="A303" s="26" t="inlineStr">
        <is>
          <t>WINDOWS &amp; DOORS</t>
        </is>
      </c>
    </row>
    <row r="304">
      <c r="A304" s="27" t="n">
        <v>1</v>
      </c>
      <c r="B304" s="28" t="inlineStr">
        <is>
          <t>EX-01</t>
        </is>
      </c>
      <c r="C304" s="29" t="inlineStr">
        <is>
          <t>Dfw company Main Door (Model xyz) – Black – Nothing</t>
        </is>
      </c>
      <c r="D304" s="30">
        <f>IF(Selections!H9="",1,Selections!H9)</f>
        <v/>
      </c>
      <c r="E304" s="31">
        <f>IF(Selections!R9="","",Selections!R9)</f>
        <v/>
      </c>
      <c r="F304" s="40">
        <f>IF(Selections!S9="","",Selections!S9)</f>
        <v/>
      </c>
      <c r="G304" s="31">
        <f>IF(ISNUMBER(E304),D304*E304*(1+IF(ISNUMBER(F304),F304,0)/100),"")</f>
        <v/>
      </c>
    </row>
    <row r="305">
      <c r="C305" s="32" t="inlineStr">
        <is>
          <t>Windows &amp; Doors subtotal</t>
        </is>
      </c>
      <c r="G305" s="33">
        <f>SUM(G304:G304)</f>
        <v/>
      </c>
    </row>
    <row r="306">
      <c r="A306" s="34" t="n"/>
      <c r="B306" s="34" t="n"/>
      <c r="C306" s="35" t="inlineStr">
        <is>
          <t>UH-103 total</t>
        </is>
      </c>
      <c r="D306" s="34" t="n"/>
      <c r="E306" s="34" t="n"/>
      <c r="F306" s="34" t="n"/>
      <c r="G306" s="36">
        <f>G305</f>
        <v/>
      </c>
    </row>
    <row r="308">
      <c r="A308" s="34" t="n"/>
      <c r="B308" s="34" t="n"/>
      <c r="C308" s="37" t="inlineStr">
        <is>
          <t>Grand total</t>
        </is>
      </c>
      <c r="D308" s="34" t="n"/>
      <c r="E308" s="34" t="n"/>
      <c r="F308" s="34" t="n"/>
      <c r="G308" s="38">
        <f>G291+G300+G306</f>
        <v/>
      </c>
    </row>
  </sheetData>
  <mergeCells count="17">
    <mergeCell ref="A2:F2"/>
    <mergeCell ref="A303:G303"/>
    <mergeCell ref="A264:G264"/>
    <mergeCell ref="A9:G9"/>
    <mergeCell ref="A18:G18"/>
    <mergeCell ref="A6:G6"/>
    <mergeCell ref="A21:G21"/>
    <mergeCell ref="A253:G253"/>
    <mergeCell ref="A12:G12"/>
    <mergeCell ref="A294:G294"/>
    <mergeCell ref="A293:G293"/>
    <mergeCell ref="A15:G15"/>
    <mergeCell ref="A302:G302"/>
    <mergeCell ref="A297:G297"/>
    <mergeCell ref="A151:G151"/>
    <mergeCell ref="A5:G5"/>
    <mergeCell ref="A269:G269"/>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2026-09-16T16:13:28Z</dcterms:created>
  <dcterms:modified xmlns:dcterms="http://purl.org/dc/terms/" xmlns:xsi="http://www.w3.org/2001/XMLSchema-instance" xsi:type="dcterms:W3CDTF">2026-10-05T20:37:32Z</dcterms:modified>
  <cp:lastModifiedBy>Apps</cp:lastModifiedBy>
  <cp:revision>0</cp:revision>
</cp:coreProperties>
</file>